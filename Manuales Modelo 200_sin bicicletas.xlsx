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OLO\OneDrive\Escritorio\TRABAJO\AforMan\"/>
    </mc:Choice>
  </mc:AlternateContent>
  <xr:revisionPtr revIDLastSave="0" documentId="8_{055A63F3-78D2-4DF2-AB07-8F3B6114461D}" xr6:coauthVersionLast="36" xr6:coauthVersionMax="36" xr10:uidLastSave="{00000000-0000-0000-0000-000000000000}"/>
  <bookViews>
    <workbookView xWindow="0" yWindow="0" windowWidth="28800" windowHeight="12810" xr2:uid="{2C5CDA31-9461-46B2-A347-0AFA38ADA4F4}"/>
  </bookViews>
  <sheets>
    <sheet name="Modelo200" sheetId="1" r:id="rId1"/>
  </sheets>
  <definedNames>
    <definedName name="AFORO">Modelo200!$J$5:$J$6</definedName>
    <definedName name="AÑO">Modelo200!$G$5:$G$6</definedName>
    <definedName name="ARTICULADOS">Modelo200!$I$10:$I$34</definedName>
    <definedName name="AUTOBUSES">Modelo200!$L$10:$L$34</definedName>
    <definedName name="CALZADA">Modelo200!$J$3:$J$4</definedName>
    <definedName name="CAMIONETAS">Modelo200!$E$10:$E$34</definedName>
    <definedName name="CARAVANA">Modelo200!$D$10:$D$34</definedName>
    <definedName name="CB">Modelo200!$G$3:$G$4</definedName>
    <definedName name="COCHES">Modelo200!$C$10:$C$34</definedName>
    <definedName name="CRTA">Modelo200!$H$3:$H$4</definedName>
    <definedName name="DIA">Modelo200!$E$5:$E$6</definedName>
    <definedName name="DIASEMANA">Modelo200!$D$5:$D$6</definedName>
    <definedName name="ESPECIALES">Modelo200!$K$10:$K$34</definedName>
    <definedName name="ESTACION">Modelo200!$E$3:$F$4</definedName>
    <definedName name="EXTRANJEROS">Modelo200!$A$40:$O$41</definedName>
    <definedName name="HOJA">Modelo200!$K$5:$K$6</definedName>
    <definedName name="INCIDENCIAS">Modelo200!$I$5:$I$6</definedName>
    <definedName name="LIGEROS">Modelo200!$G$10:$G$34</definedName>
    <definedName name="MES">Modelo200!$F$5:$F$6</definedName>
    <definedName name="MOTOS">Modelo200!$B$10:$B$34</definedName>
    <definedName name="OBSERVACIONES">Modelo200!$L$5:$O$6</definedName>
    <definedName name="PELIGROSAS">Modelo200!$A$38:$O$39</definedName>
    <definedName name="PESADOS">Modelo200!$M$10:$N$34</definedName>
    <definedName name="PK">Modelo200!$I$3:$I$4</definedName>
    <definedName name="POBLACION">Modelo200!$K$3:$O$4</definedName>
    <definedName name="PROVINCIA">Modelo200!$A$3:$D$4</definedName>
    <definedName name="PTIPO">Modelo200!$A$36:$O$37</definedName>
    <definedName name="PTOTAL">Modelo200!$A$35:$O$36</definedName>
    <definedName name="SINREMOLQUE">Modelo200!$H$10:$H$34</definedName>
    <definedName name="TDIARIOS">Modelo200!$A$34:$O$35</definedName>
    <definedName name="THORARIOS">Modelo200!$O$7:$O$34</definedName>
    <definedName name="TIEMPO">Modelo200!$H$5:$H$6</definedName>
    <definedName name="TIPO">Modelo200!$A$5:$C$6</definedName>
    <definedName name="TRACTORES">Modelo200!$F$10:$F$34</definedName>
    <definedName name="TRENES">Modelo200!$J$10:$J$34</definedName>
  </definedNames>
  <calcPr calcId="191029"/>
</workbook>
</file>

<file path=xl/calcChain.xml><?xml version="1.0" encoding="utf-8"?>
<calcChain xmlns="http://schemas.openxmlformats.org/spreadsheetml/2006/main">
  <c r="G11" i="1" l="1"/>
  <c r="M11" i="1"/>
  <c r="O11" i="1"/>
  <c r="G12" i="1"/>
  <c r="M12" i="1"/>
  <c r="O12" i="1"/>
  <c r="G13" i="1"/>
  <c r="M13" i="1"/>
  <c r="O13" i="1"/>
  <c r="G14" i="1"/>
  <c r="M14" i="1"/>
  <c r="O14" i="1"/>
  <c r="G15" i="1"/>
  <c r="M15" i="1"/>
  <c r="O15" i="1"/>
  <c r="G16" i="1"/>
  <c r="M16" i="1"/>
  <c r="O16" i="1"/>
  <c r="G17" i="1"/>
  <c r="M17" i="1"/>
  <c r="O17" i="1"/>
  <c r="G18" i="1"/>
  <c r="M18" i="1"/>
  <c r="O18" i="1"/>
  <c r="G19" i="1"/>
  <c r="M19" i="1"/>
  <c r="O19" i="1"/>
  <c r="G20" i="1"/>
  <c r="M20" i="1"/>
  <c r="O20" i="1"/>
  <c r="G21" i="1"/>
  <c r="M21" i="1"/>
  <c r="O21" i="1"/>
  <c r="G22" i="1"/>
  <c r="O22" i="1" s="1"/>
  <c r="O35" i="1" s="1"/>
  <c r="M22" i="1"/>
  <c r="G23" i="1"/>
  <c r="M23" i="1"/>
  <c r="O23" i="1"/>
  <c r="G24" i="1"/>
  <c r="M24" i="1"/>
  <c r="O24" i="1"/>
  <c r="G25" i="1"/>
  <c r="M25" i="1"/>
  <c r="O25" i="1"/>
  <c r="G26" i="1"/>
  <c r="M26" i="1"/>
  <c r="O26" i="1"/>
  <c r="G27" i="1"/>
  <c r="M27" i="1"/>
  <c r="O27" i="1"/>
  <c r="G28" i="1"/>
  <c r="M28" i="1"/>
  <c r="O28" i="1"/>
  <c r="G29" i="1"/>
  <c r="M29" i="1"/>
  <c r="O29" i="1"/>
  <c r="G30" i="1"/>
  <c r="M30" i="1"/>
  <c r="O30" i="1"/>
  <c r="G31" i="1"/>
  <c r="M31" i="1"/>
  <c r="O31" i="1"/>
  <c r="G32" i="1"/>
  <c r="M32" i="1"/>
  <c r="O32" i="1"/>
  <c r="G33" i="1"/>
  <c r="M33" i="1"/>
  <c r="O33" i="1"/>
  <c r="G34" i="1"/>
  <c r="M34" i="1"/>
  <c r="O34" i="1"/>
  <c r="B35" i="1"/>
  <c r="C35" i="1"/>
  <c r="D35" i="1"/>
  <c r="E35" i="1"/>
  <c r="F35" i="1"/>
  <c r="G35" i="1"/>
  <c r="H35" i="1"/>
  <c r="I35" i="1"/>
  <c r="J35" i="1"/>
  <c r="K35" i="1"/>
  <c r="L35" i="1"/>
  <c r="M35" i="1"/>
  <c r="G39" i="1"/>
  <c r="M39" i="1"/>
  <c r="O39" i="1" s="1"/>
  <c r="G41" i="1"/>
  <c r="M41" i="1"/>
  <c r="O41" i="1"/>
  <c r="Q41" i="1"/>
  <c r="O36" i="1" l="1"/>
  <c r="M36" i="1"/>
  <c r="L36" i="1"/>
  <c r="K36" i="1"/>
  <c r="J36" i="1"/>
  <c r="I36" i="1"/>
  <c r="H36" i="1"/>
  <c r="G36" i="1"/>
  <c r="F36" i="1"/>
  <c r="E36" i="1"/>
  <c r="D36" i="1"/>
  <c r="C36" i="1"/>
  <c r="B36" i="1"/>
  <c r="B37" i="1" s="1"/>
  <c r="M37" i="1" l="1"/>
  <c r="L37" i="1"/>
  <c r="K37" i="1"/>
  <c r="J37" i="1"/>
  <c r="I37" i="1"/>
  <c r="H37" i="1"/>
  <c r="G37" i="1"/>
  <c r="F37" i="1"/>
  <c r="E37" i="1"/>
  <c r="D37" i="1"/>
  <c r="C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WinuE</author>
  </authors>
  <commentList>
    <comment ref="E3" authorId="0" shapeId="0" xr:uid="{7A7B7C88-1739-4E4F-AA41-8F126332865A}">
      <text>
        <r>
          <rPr>
            <b/>
            <sz val="8"/>
            <color indexed="81"/>
            <rFont val="Tahoma"/>
          </rPr>
          <t>Son los 3 digitos de la estación.</t>
        </r>
      </text>
    </comment>
    <comment ref="E4" authorId="0" shapeId="0" xr:uid="{07AA18F8-0720-4EAD-9739-BA911500C13A}">
      <text>
        <r>
          <rPr>
            <b/>
            <sz val="8"/>
            <color indexed="81"/>
            <rFont val="Tahoma"/>
            <family val="2"/>
          </rPr>
          <t>Son los 3 digitos de la estación.</t>
        </r>
      </text>
    </comment>
  </commentList>
</comments>
</file>

<file path=xl/sharedStrings.xml><?xml version="1.0" encoding="utf-8"?>
<sst xmlns="http://schemas.openxmlformats.org/spreadsheetml/2006/main" count="167" uniqueCount="166">
  <si>
    <t>6 a 7</t>
  </si>
  <si>
    <t>22 a 23</t>
  </si>
  <si>
    <t>MOTOS</t>
  </si>
  <si>
    <t>COCHES</t>
  </si>
  <si>
    <t>CAMIONETAS</t>
  </si>
  <si>
    <t>AUTOBUSES</t>
  </si>
  <si>
    <t>7 a 8</t>
  </si>
  <si>
    <t>8 a 9</t>
  </si>
  <si>
    <t>9 a 10</t>
  </si>
  <si>
    <t>10 a 11</t>
  </si>
  <si>
    <t>11 a 12</t>
  </si>
  <si>
    <t>12 a 13</t>
  </si>
  <si>
    <t>13 a 14</t>
  </si>
  <si>
    <t>14 a 15</t>
  </si>
  <si>
    <t>15 a 16</t>
  </si>
  <si>
    <t>16 a 17</t>
  </si>
  <si>
    <t>17 a 18</t>
  </si>
  <si>
    <t>18 a 19</t>
  </si>
  <si>
    <t>19 a 20</t>
  </si>
  <si>
    <t>20 a 21</t>
  </si>
  <si>
    <t>21 a 22</t>
  </si>
  <si>
    <t>23 a 24</t>
  </si>
  <si>
    <t>0 a 1</t>
  </si>
  <si>
    <t>1 a 2</t>
  </si>
  <si>
    <t>2 a 3</t>
  </si>
  <si>
    <t>3 a 4</t>
  </si>
  <si>
    <t>4 a 5</t>
  </si>
  <si>
    <t>5 a 6</t>
  </si>
  <si>
    <t>TOTALES DIARIOS</t>
  </si>
  <si>
    <t>MERCANCIAS PELIGROSAS</t>
  </si>
  <si>
    <t>VEHICULOS EXTRANJEROS</t>
  </si>
  <si>
    <t>I</t>
  </si>
  <si>
    <t>II</t>
  </si>
  <si>
    <t>III</t>
  </si>
  <si>
    <t>VEHICULOS LIGEROS</t>
  </si>
  <si>
    <t>TRACTORES AGRICOLAS</t>
  </si>
  <si>
    <t>COCHES CON CARAVANA</t>
  </si>
  <si>
    <t>CAMIONES S/REMOLQUE</t>
  </si>
  <si>
    <t>CAMIONES ARTICULADOS</t>
  </si>
  <si>
    <t>TRENES DE CARRETERA</t>
  </si>
  <si>
    <t>VEHICULOS ESPECIALES</t>
  </si>
  <si>
    <t>VEHICULOS PESADOS</t>
  </si>
  <si>
    <t>2.1</t>
  </si>
  <si>
    <t>2.2</t>
  </si>
  <si>
    <t>6.1</t>
  </si>
  <si>
    <t>6.2</t>
  </si>
  <si>
    <t>6.3</t>
  </si>
  <si>
    <t>HORAS</t>
  </si>
  <si>
    <t>C   O   M   P   O   N   E   N  T   E   S</t>
  </si>
  <si>
    <t>Día de la Semana</t>
  </si>
  <si>
    <t>Día</t>
  </si>
  <si>
    <t>Mes</t>
  </si>
  <si>
    <t>Año</t>
  </si>
  <si>
    <t>Aforo Nº</t>
  </si>
  <si>
    <t xml:space="preserve">Hoja Nº </t>
  </si>
  <si>
    <t>PROVINCIA</t>
  </si>
  <si>
    <t>CB</t>
  </si>
  <si>
    <t>CRTA</t>
  </si>
  <si>
    <t>P.K.</t>
  </si>
  <si>
    <t>POBLACIÓN</t>
  </si>
  <si>
    <t>Estado del tiempo</t>
  </si>
  <si>
    <t>Tipo de aforo</t>
  </si>
  <si>
    <t>Incidencias</t>
  </si>
  <si>
    <t>Observaciones</t>
  </si>
  <si>
    <t xml:space="preserve">        A F O R O S    M A N U A L E S   D E   T R Á F I C O</t>
  </si>
  <si>
    <t>1 - completo con todos los tipos</t>
  </si>
  <si>
    <t>2 - todo salvo los coches y completado en la unidad con datos automáticos</t>
  </si>
  <si>
    <t>3 - todo salvo los coches y completado en gabinete</t>
  </si>
  <si>
    <t>4 - otro especifico</t>
  </si>
  <si>
    <t>Lunes</t>
  </si>
  <si>
    <t>Martes</t>
  </si>
  <si>
    <t>Miércoles</t>
  </si>
  <si>
    <t>Jueves</t>
  </si>
  <si>
    <t>Sábado</t>
  </si>
  <si>
    <t>Domingo</t>
  </si>
  <si>
    <t>Viernes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</si>
  <si>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</si>
  <si>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</si>
  <si>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</si>
  <si>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</si>
  <si>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</si>
  <si>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</si>
  <si>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</si>
  <si>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</si>
  <si>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</si>
  <si>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</si>
  <si>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</si>
  <si>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</si>
  <si>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soleado</t>
  </si>
  <si>
    <t>lluvioso</t>
  </si>
  <si>
    <t>niebla</t>
  </si>
  <si>
    <t>hielo</t>
  </si>
  <si>
    <t>nieve</t>
  </si>
  <si>
    <t>nublado</t>
  </si>
  <si>
    <t>obras</t>
  </si>
  <si>
    <t>carril cortado</t>
  </si>
  <si>
    <t>otras</t>
  </si>
  <si>
    <t>1 de 1</t>
  </si>
  <si>
    <t>1 de 2</t>
  </si>
  <si>
    <t>2 de 2</t>
  </si>
  <si>
    <t>ninguna</t>
  </si>
  <si>
    <t>TOTALES HORARIOS</t>
  </si>
  <si>
    <t>% TOTAL</t>
  </si>
  <si>
    <t>% TIPO</t>
  </si>
  <si>
    <t>CALZADA</t>
  </si>
  <si>
    <t>conv</t>
  </si>
  <si>
    <t>1 (asc)</t>
  </si>
  <si>
    <t>2 (desc)</t>
  </si>
  <si>
    <t>v.s (asc)</t>
  </si>
  <si>
    <t>v.s (desc)</t>
  </si>
  <si>
    <t xml:space="preserve"> </t>
  </si>
  <si>
    <t>(01)  Álava</t>
  </si>
  <si>
    <t>(02)  Albacete</t>
  </si>
  <si>
    <t>(03)  Alicante</t>
  </si>
  <si>
    <t>(04)  Almería</t>
  </si>
  <si>
    <t>(05)  Ávila</t>
  </si>
  <si>
    <t>(06)  Badajoz</t>
  </si>
  <si>
    <t>(07)  Baleares</t>
  </si>
  <si>
    <t>(08)  Barcelona</t>
  </si>
  <si>
    <t>(09)  Burgos</t>
  </si>
  <si>
    <t>(10)  Cáceres</t>
  </si>
  <si>
    <t>(11)  Cádiz</t>
  </si>
  <si>
    <t>(12)  Castellón</t>
  </si>
  <si>
    <t>(13)  Ciudad Real</t>
  </si>
  <si>
    <t>(14)  Córdoba</t>
  </si>
  <si>
    <t>(15)  La Coruña</t>
  </si>
  <si>
    <t>(16)  Cuenca</t>
  </si>
  <si>
    <t>(17)  Gerona</t>
  </si>
  <si>
    <t>(18)  Granada</t>
  </si>
  <si>
    <t>(19)  Guadalajara</t>
  </si>
  <si>
    <t>(20)  Guipúzcoa</t>
  </si>
  <si>
    <t>(21)  Huelva</t>
  </si>
  <si>
    <t>(22)  Huesca</t>
  </si>
  <si>
    <t>(23)  Jaén</t>
  </si>
  <si>
    <t>(24)  León</t>
  </si>
  <si>
    <t>(25)  Lérida</t>
  </si>
  <si>
    <t>(26)  La Rioja</t>
  </si>
  <si>
    <t>(27)  Lugo</t>
  </si>
  <si>
    <t>(28)  Madrid</t>
  </si>
  <si>
    <t>(29)  Málaga</t>
  </si>
  <si>
    <t>(30)  Murcia</t>
  </si>
  <si>
    <t>(31)  Navarra</t>
  </si>
  <si>
    <t>(32)  Orense</t>
  </si>
  <si>
    <t>(33)  Asturias</t>
  </si>
  <si>
    <t>(34)  Palencia</t>
  </si>
  <si>
    <t>(35)  Las Palmas</t>
  </si>
  <si>
    <t>(36)  Pontevedra</t>
  </si>
  <si>
    <t>(37)  Salamanca</t>
  </si>
  <si>
    <t>(38)  S.C. Tenerife</t>
  </si>
  <si>
    <t>(39)  Cantabria</t>
  </si>
  <si>
    <t>(40)  Segovia</t>
  </si>
  <si>
    <t>(41)  Sevilla</t>
  </si>
  <si>
    <t>(42)  Soria</t>
  </si>
  <si>
    <t>(43)  Tarragona</t>
  </si>
  <si>
    <t>(44)  Teruel</t>
  </si>
  <si>
    <t>(45)  Toledo</t>
  </si>
  <si>
    <t>(46)  Valencia</t>
  </si>
  <si>
    <t>(47)  Valladolid</t>
  </si>
  <si>
    <t>(48)  Vizcaya</t>
  </si>
  <si>
    <t>(49)  Zamora</t>
  </si>
  <si>
    <t>(50)  Zaragoza</t>
  </si>
  <si>
    <t>(51)  Ceuta</t>
  </si>
  <si>
    <t>(52)  Melilla</t>
  </si>
  <si>
    <t>Nº ESTACION</t>
  </si>
  <si>
    <t>5</t>
  </si>
  <si>
    <r>
      <t xml:space="preserve">MINISTERIO DE TRANSPORTES Y MOVILIDAD SOSTENIBLE    </t>
    </r>
    <r>
      <rPr>
        <sz val="6"/>
        <rFont val="Arial"/>
        <family val="2"/>
      </rPr>
      <t>DIRECCIÓN GENERAL DE CARRETERAS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</si>
</sst>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00"/>
  </numFmts>
  <fonts count="14" x14ac:knownFonts="1">
    <font>
      <sz val="10"/>
      <name val="Arial"/>
    </font>
    <font>
      <sz val="8"/>
      <name val="Arial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sz val="18"/>
      <name val="Arial"/>
      <family val="2"/>
    </font>
    <font>
      <sz val="11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.5"/>
      <name val="Arial"/>
      <family val="2"/>
    </font>
    <font>
      <b/>
      <sz val="8"/>
      <color indexed="81"/>
      <name val="Tahoma"/>
    </font>
    <font>
      <b/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 applyProtection="1">
      <alignment horizontal="left"/>
    </xf>
    <xf numFmtId="0" fontId="4" fillId="0" borderId="0" xfId="0" applyFont="1" applyProtection="1"/>
    <xf numFmtId="49" fontId="4" fillId="0" borderId="0" xfId="0" applyNumberFormat="1" applyFont="1" applyAlignment="1" applyProtection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4" fillId="3" borderId="0" xfId="0" applyFont="1" applyFill="1" applyBorder="1" applyAlignment="1" applyProtection="1">
      <alignment horizontal="center" wrapText="1"/>
    </xf>
    <xf numFmtId="0" fontId="4" fillId="3" borderId="0" xfId="0" applyFont="1" applyFill="1" applyBorder="1" applyAlignment="1" applyProtection="1">
      <alignment horizontal="left"/>
    </xf>
    <xf numFmtId="0" fontId="4" fillId="3" borderId="0" xfId="0" applyFont="1" applyFill="1" applyBorder="1" applyProtection="1"/>
    <xf numFmtId="0" fontId="4" fillId="0" borderId="4" xfId="0" applyFont="1" applyBorder="1" applyAlignment="1" applyProtection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 applyProtection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3" borderId="16" xfId="0" applyFont="1" applyFill="1" applyBorder="1" applyAlignment="1" applyProtection="1">
      <alignment horizontal="center" vertical="center" wrapText="1"/>
    </xf>
    <xf numFmtId="0" fontId="4" fillId="3" borderId="17" xfId="0" applyFont="1" applyFill="1" applyBorder="1" applyAlignment="1" applyProtection="1">
      <alignment horizontal="center" vertical="center" wrapText="1"/>
    </xf>
    <xf numFmtId="0" fontId="4" fillId="3" borderId="18" xfId="0" applyFont="1" applyFill="1" applyBorder="1" applyAlignment="1" applyProtection="1">
      <alignment horizontal="center" vertical="center" wrapText="1"/>
    </xf>
    <xf numFmtId="0" fontId="4" fillId="2" borderId="19" xfId="0" applyFont="1" applyFill="1" applyBorder="1" applyAlignment="1" applyProtection="1">
      <alignment horizontal="center" vertical="center" wrapText="1"/>
      <protection locked="0"/>
    </xf>
    <xf numFmtId="0" fontId="4" fillId="2" borderId="20" xfId="0" applyFont="1" applyFill="1" applyBorder="1" applyAlignment="1" applyProtection="1">
      <alignment horizontal="center" vertical="center" wrapText="1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3" borderId="22" xfId="0" applyFont="1" applyFill="1" applyBorder="1" applyAlignment="1" applyProtection="1">
      <alignment horizontal="center" vertical="center" wrapText="1"/>
    </xf>
    <xf numFmtId="0" fontId="4" fillId="3" borderId="23" xfId="0" applyFont="1" applyFill="1" applyBorder="1" applyAlignment="1" applyProtection="1">
      <alignment horizontal="center" vertical="center" wrapText="1"/>
    </xf>
    <xf numFmtId="0" fontId="4" fillId="3" borderId="24" xfId="0" applyFont="1" applyFill="1" applyBorder="1" applyAlignment="1" applyProtection="1">
      <alignment horizontal="center" vertical="center" wrapText="1"/>
    </xf>
    <xf numFmtId="0" fontId="4" fillId="3" borderId="25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 vertical="center" wrapText="1"/>
    </xf>
    <xf numFmtId="22" fontId="4" fillId="0" borderId="0" xfId="0" applyNumberFormat="1" applyFont="1" applyAlignment="1" applyProtection="1">
      <alignment horizontal="center" vertical="center" wrapText="1"/>
    </xf>
    <xf numFmtId="4" fontId="4" fillId="0" borderId="4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26" xfId="0" applyFont="1" applyFill="1" applyBorder="1" applyAlignment="1" applyProtection="1">
      <alignment horizontal="center" vertical="center" wrapText="1"/>
    </xf>
    <xf numFmtId="0" fontId="4" fillId="2" borderId="24" xfId="0" applyFont="1" applyFill="1" applyBorder="1" applyAlignment="1" applyProtection="1">
      <alignment horizontal="center" vertical="center" wrapText="1"/>
      <protection locked="0"/>
    </xf>
    <xf numFmtId="0" fontId="4" fillId="2" borderId="27" xfId="0" applyFont="1" applyFill="1" applyBorder="1" applyAlignment="1" applyProtection="1">
      <alignment horizontal="center" vertical="center" wrapText="1"/>
      <protection locked="0"/>
    </xf>
    <xf numFmtId="0" fontId="4" fillId="2" borderId="28" xfId="0" applyFont="1" applyFill="1" applyBorder="1" applyAlignment="1" applyProtection="1">
      <alignment horizontal="center" vertical="center" wrapText="1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25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0" fontId="4" fillId="2" borderId="31" xfId="0" applyFont="1" applyFill="1" applyBorder="1" applyAlignment="1" applyProtection="1">
      <alignment horizontal="center" vertical="center" wrapText="1"/>
      <protection locked="0"/>
    </xf>
    <xf numFmtId="0" fontId="9" fillId="0" borderId="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4" fillId="4" borderId="17" xfId="0" applyFont="1" applyFill="1" applyBorder="1" applyAlignment="1" applyProtection="1">
      <alignment horizontal="center" vertical="center" wrapText="1"/>
      <protection locked="0"/>
    </xf>
    <xf numFmtId="0" fontId="4" fillId="4" borderId="18" xfId="0" applyFont="1" applyFill="1" applyBorder="1" applyAlignment="1" applyProtection="1">
      <alignment horizontal="center" vertical="center" wrapText="1"/>
      <protection locked="0"/>
    </xf>
    <xf numFmtId="0" fontId="4" fillId="2" borderId="18" xfId="0" applyFont="1" applyFill="1" applyBorder="1" applyAlignment="1" applyProtection="1">
      <alignment horizontal="center" vertical="center" wrapText="1"/>
      <protection locked="0"/>
    </xf>
    <xf numFmtId="0" fontId="4" fillId="4" borderId="22" xfId="0" applyFont="1" applyFill="1" applyBorder="1" applyAlignment="1" applyProtection="1">
      <alignment horizontal="center" vertical="center" wrapText="1"/>
      <protection locked="0"/>
    </xf>
    <xf numFmtId="0" fontId="4" fillId="2" borderId="33" xfId="0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29" xfId="0" applyFont="1" applyFill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2" fillId="0" borderId="31" xfId="0" applyFont="1" applyFill="1" applyBorder="1" applyAlignment="1" applyProtection="1">
      <alignment horizontal="center" vertical="center" wrapText="1"/>
    </xf>
    <xf numFmtId="0" fontId="2" fillId="0" borderId="35" xfId="0" applyFont="1" applyFill="1" applyBorder="1" applyAlignment="1" applyProtection="1">
      <alignment horizontal="center" vertical="center" wrapText="1"/>
    </xf>
    <xf numFmtId="0" fontId="2" fillId="0" borderId="24" xfId="0" applyFont="1" applyFill="1" applyBorder="1" applyAlignment="1" applyProtection="1">
      <alignment horizontal="center" vertical="center" wrapText="1"/>
    </xf>
    <xf numFmtId="0" fontId="2" fillId="0" borderId="34" xfId="0" applyFont="1" applyFill="1" applyBorder="1" applyAlignment="1" applyProtection="1">
      <alignment horizontal="center" vertical="center" wrapText="1"/>
    </xf>
    <xf numFmtId="49" fontId="4" fillId="4" borderId="37" xfId="0" applyNumberFormat="1" applyFont="1" applyFill="1" applyBorder="1" applyAlignment="1" applyProtection="1">
      <alignment horizontal="center" vertical="center" wrapText="1"/>
      <protection locked="0"/>
    </xf>
    <xf numFmtId="49" fontId="4" fillId="5" borderId="3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31" xfId="0" applyFont="1" applyBorder="1" applyAlignment="1">
      <alignment horizontal="center" vertical="center" wrapText="1"/>
    </xf>
    <xf numFmtId="49" fontId="4" fillId="5" borderId="35" xfId="0" applyNumberFormat="1" applyFont="1" applyFill="1" applyBorder="1" applyAlignment="1" applyProtection="1">
      <alignment horizontal="center" vertical="center" wrapText="1"/>
      <protection locked="0"/>
    </xf>
    <xf numFmtId="49" fontId="4" fillId="5" borderId="24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4" borderId="42" xfId="0" applyFont="1" applyFill="1" applyBorder="1" applyAlignment="1" applyProtection="1">
      <alignment horizontal="center" vertical="center" wrapText="1"/>
      <protection locked="0"/>
    </xf>
    <xf numFmtId="0" fontId="4" fillId="4" borderId="43" xfId="0" applyFont="1" applyFill="1" applyBorder="1" applyAlignment="1" applyProtection="1">
      <alignment horizontal="center" vertical="center" wrapText="1"/>
      <protection locked="0"/>
    </xf>
    <xf numFmtId="0" fontId="4" fillId="4" borderId="15" xfId="0" applyFont="1" applyFill="1" applyBorder="1" applyAlignment="1" applyProtection="1">
      <alignment horizontal="center" vertical="center" wrapText="1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0" fontId="4" fillId="4" borderId="19" xfId="0" applyFont="1" applyFill="1" applyBorder="1" applyAlignment="1" applyProtection="1">
      <alignment horizontal="center" vertical="center" wrapText="1"/>
      <protection locked="0"/>
    </xf>
    <xf numFmtId="0" fontId="4" fillId="4" borderId="20" xfId="0" applyFont="1" applyFill="1" applyBorder="1" applyAlignment="1" applyProtection="1">
      <alignment horizontal="center" vertical="center" wrapText="1"/>
      <protection locked="0"/>
    </xf>
    <xf numFmtId="0" fontId="4" fillId="4" borderId="21" xfId="0" applyFont="1" applyFill="1" applyBorder="1" applyAlignment="1" applyProtection="1">
      <alignment horizontal="center" vertical="center" wrapText="1"/>
      <protection locked="0"/>
    </xf>
    <xf numFmtId="0" fontId="4" fillId="4" borderId="2" xfId="0" applyFont="1" applyFill="1" applyBorder="1" applyAlignment="1" applyProtection="1">
      <alignment horizontal="center" vertical="center" wrapText="1"/>
      <protection locked="0"/>
    </xf>
    <xf numFmtId="0" fontId="4" fillId="4" borderId="14" xfId="0" applyFont="1" applyFill="1" applyBorder="1" applyAlignment="1" applyProtection="1">
      <alignment horizontal="center" vertical="center" wrapText="1"/>
      <protection locked="0"/>
    </xf>
    <xf numFmtId="0" fontId="4" fillId="4" borderId="44" xfId="0" applyFont="1" applyFill="1" applyBorder="1" applyAlignment="1" applyProtection="1">
      <alignment horizontal="center" vertical="center" wrapText="1"/>
      <protection locked="0"/>
    </xf>
    <xf numFmtId="0" fontId="4" fillId="4" borderId="9" xfId="0" applyFont="1" applyFill="1" applyBorder="1" applyAlignment="1" applyProtection="1">
      <alignment horizontal="center" vertical="center" wrapText="1"/>
      <protection locked="0"/>
    </xf>
    <xf numFmtId="0" fontId="4" fillId="4" borderId="10" xfId="0" applyFont="1" applyFill="1" applyBorder="1" applyAlignment="1" applyProtection="1">
      <alignment horizontal="center" vertical="center" wrapText="1"/>
      <protection locked="0"/>
    </xf>
    <xf numFmtId="0" fontId="4" fillId="0" borderId="45" xfId="0" applyFont="1" applyBorder="1" applyAlignment="1">
      <alignment horizontal="center" vertical="center" wrapText="1"/>
    </xf>
    <xf numFmtId="22" fontId="4" fillId="0" borderId="45" xfId="0" applyNumberFormat="1" applyFont="1" applyBorder="1" applyAlignment="1">
      <alignment horizontal="center" vertical="center" wrapText="1"/>
    </xf>
    <xf numFmtId="0" fontId="11" fillId="0" borderId="0" xfId="0" applyFont="1"/>
    <xf numFmtId="164" fontId="4" fillId="4" borderId="24" xfId="0" applyNumberFormat="1" applyFont="1" applyFill="1" applyBorder="1" applyAlignment="1" applyProtection="1">
      <alignment horizontal="center" vertical="center" wrapText="1"/>
      <protection locked="0"/>
    </xf>
    <xf numFmtId="4" fontId="4" fillId="0" borderId="35" xfId="0" applyNumberFormat="1" applyFont="1" applyFill="1" applyBorder="1" applyAlignment="1" applyProtection="1">
      <alignment horizontal="center" vertical="center" wrapText="1"/>
    </xf>
    <xf numFmtId="4" fontId="4" fillId="0" borderId="23" xfId="0" applyNumberFormat="1" applyFont="1" applyFill="1" applyBorder="1" applyAlignment="1" applyProtection="1">
      <alignment horizontal="center" vertical="center" wrapText="1"/>
    </xf>
    <xf numFmtId="4" fontId="4" fillId="0" borderId="25" xfId="0" applyNumberFormat="1" applyFont="1" applyFill="1" applyBorder="1" applyAlignment="1" applyProtection="1">
      <alignment horizontal="center" vertical="center" wrapText="1"/>
    </xf>
    <xf numFmtId="4" fontId="4" fillId="0" borderId="31" xfId="0" applyNumberFormat="1" applyFont="1" applyFill="1" applyBorder="1" applyAlignment="1" applyProtection="1">
      <alignment horizontal="center" vertical="center" wrapText="1"/>
    </xf>
    <xf numFmtId="4" fontId="4" fillId="0" borderId="24" xfId="0" applyNumberFormat="1" applyFont="1" applyFill="1" applyBorder="1" applyAlignment="1" applyProtection="1">
      <alignment horizontal="center" vertical="center" wrapText="1"/>
    </xf>
    <xf numFmtId="4" fontId="4" fillId="0" borderId="30" xfId="0" applyNumberFormat="1" applyFont="1" applyFill="1" applyBorder="1" applyAlignment="1" applyProtection="1">
      <alignment horizontal="center" vertical="center" wrapText="1"/>
    </xf>
    <xf numFmtId="4" fontId="4" fillId="0" borderId="1" xfId="0" applyNumberFormat="1" applyFont="1" applyFill="1" applyBorder="1" applyAlignment="1" applyProtection="1">
      <alignment horizontal="center" vertical="center" wrapText="1"/>
    </xf>
    <xf numFmtId="0" fontId="4" fillId="3" borderId="46" xfId="0" applyFont="1" applyFill="1" applyBorder="1" applyAlignment="1" applyProtection="1">
      <alignment horizontal="center" vertical="center" wrapText="1"/>
    </xf>
    <xf numFmtId="0" fontId="3" fillId="3" borderId="21" xfId="0" applyFont="1" applyFill="1" applyBorder="1" applyAlignment="1" applyProtection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3" borderId="47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4" fillId="0" borderId="35" xfId="0" applyFont="1" applyFill="1" applyBorder="1" applyAlignment="1" applyProtection="1">
      <alignment horizontal="center" vertical="center" wrapText="1"/>
    </xf>
    <xf numFmtId="0" fontId="3" fillId="0" borderId="31" xfId="0" applyFont="1" applyFill="1" applyBorder="1" applyAlignment="1" applyProtection="1">
      <alignment horizontal="center" vertical="center" wrapText="1"/>
    </xf>
    <xf numFmtId="0" fontId="4" fillId="3" borderId="35" xfId="0" applyFont="1" applyFill="1" applyBorder="1" applyAlignment="1" applyProtection="1">
      <alignment horizontal="center" vertical="center" wrapText="1"/>
    </xf>
    <xf numFmtId="0" fontId="4" fillId="3" borderId="25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29" xfId="0" applyFont="1" applyFill="1" applyBorder="1" applyAlignment="1" applyProtection="1">
      <alignment horizontal="center" vertical="center" wrapText="1"/>
    </xf>
    <xf numFmtId="4" fontId="4" fillId="0" borderId="1" xfId="0" applyNumberFormat="1" applyFont="1" applyFill="1" applyBorder="1" applyAlignment="1" applyProtection="1">
      <alignment horizontal="center" vertical="center"/>
    </xf>
    <xf numFmtId="4" fontId="0" fillId="0" borderId="48" xfId="0" applyNumberFormat="1" applyBorder="1" applyAlignment="1" applyProtection="1">
      <alignment horizontal="center" vertical="center"/>
    </xf>
    <xf numFmtId="4" fontId="4" fillId="0" borderId="4" xfId="0" applyNumberFormat="1" applyFont="1" applyFill="1" applyBorder="1" applyAlignment="1" applyProtection="1">
      <alignment horizontal="center" vertical="center"/>
    </xf>
    <xf numFmtId="0" fontId="0" fillId="0" borderId="4" xfId="0" applyBorder="1" applyAlignment="1" applyProtection="1">
      <alignment horizontal="center" vertical="center"/>
    </xf>
    <xf numFmtId="49" fontId="4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4" fillId="5" borderId="30" xfId="0" applyNumberFormat="1" applyFont="1" applyFill="1" applyBorder="1" applyAlignment="1" applyProtection="1">
      <alignment horizontal="center" vertical="center" wrapText="1"/>
      <protection locked="0"/>
    </xf>
    <xf numFmtId="49" fontId="4" fillId="5" borderId="48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49" fontId="4" fillId="4" borderId="6" xfId="0" applyNumberFormat="1" applyFont="1" applyFill="1" applyBorder="1" applyAlignment="1" applyProtection="1">
      <alignment horizontal="center" vertical="center" wrapText="1"/>
      <protection locked="0"/>
    </xf>
    <xf numFmtId="49" fontId="4" fillId="4" borderId="29" xfId="0" applyNumberFormat="1" applyFont="1" applyFill="1" applyBorder="1" applyAlignment="1" applyProtection="1">
      <alignment horizontal="center" vertical="center" wrapText="1"/>
      <protection locked="0"/>
    </xf>
    <xf numFmtId="49" fontId="4" fillId="4" borderId="49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5" fillId="0" borderId="50" xfId="0" applyFont="1" applyFill="1" applyBorder="1" applyAlignment="1">
      <alignment horizontal="center" vertical="center" wrapText="1"/>
    </xf>
    <xf numFmtId="0" fontId="3" fillId="0" borderId="43" xfId="0" applyFont="1" applyFill="1" applyBorder="1" applyAlignment="1">
      <alignment vertical="center"/>
    </xf>
    <xf numFmtId="0" fontId="3" fillId="0" borderId="44" xfId="0" applyFont="1" applyFill="1" applyBorder="1" applyAlignment="1">
      <alignment vertical="center"/>
    </xf>
    <xf numFmtId="0" fontId="3" fillId="0" borderId="51" xfId="0" applyFont="1" applyFill="1" applyBorder="1" applyAlignment="1">
      <alignment vertical="center"/>
    </xf>
    <xf numFmtId="0" fontId="3" fillId="0" borderId="52" xfId="0" applyFont="1" applyFill="1" applyBorder="1" applyAlignment="1">
      <alignment vertical="center"/>
    </xf>
    <xf numFmtId="0" fontId="3" fillId="0" borderId="53" xfId="0" applyFont="1" applyFill="1" applyBorder="1" applyAlignment="1">
      <alignment vertical="center"/>
    </xf>
    <xf numFmtId="0" fontId="10" fillId="0" borderId="4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0" fillId="0" borderId="30" xfId="0" applyBorder="1"/>
    <xf numFmtId="0" fontId="0" fillId="0" borderId="48" xfId="0" applyBorder="1"/>
    <xf numFmtId="49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0" xfId="0" applyBorder="1" applyProtection="1">
      <protection locked="0"/>
    </xf>
    <xf numFmtId="0" fontId="0" fillId="0" borderId="48" xfId="0" applyBorder="1" applyProtection="1">
      <protection locked="0"/>
    </xf>
    <xf numFmtId="0" fontId="4" fillId="6" borderId="29" xfId="0" applyFont="1" applyFill="1" applyBorder="1" applyAlignment="1">
      <alignment horizontal="left" wrapText="1"/>
    </xf>
    <xf numFmtId="0" fontId="4" fillId="3" borderId="54" xfId="0" applyFont="1" applyFill="1" applyBorder="1" applyAlignment="1" applyProtection="1">
      <alignment horizontal="center" wrapText="1"/>
    </xf>
    <xf numFmtId="0" fontId="0" fillId="3" borderId="55" xfId="0" applyFill="1" applyBorder="1" applyAlignment="1" applyProtection="1">
      <alignment horizontal="center" wrapText="1"/>
    </xf>
    <xf numFmtId="0" fontId="0" fillId="3" borderId="56" xfId="0" applyFill="1" applyBorder="1" applyAlignment="1" applyProtection="1">
      <alignment horizontal="center" wrapText="1"/>
    </xf>
    <xf numFmtId="0" fontId="6" fillId="3" borderId="29" xfId="0" applyFont="1" applyFill="1" applyBorder="1" applyAlignment="1" applyProtection="1">
      <alignment horizontal="left" vertical="center" wrapText="1"/>
    </xf>
    <xf numFmtId="0" fontId="0" fillId="3" borderId="29" xfId="0" applyFill="1" applyBorder="1" applyAlignment="1" applyProtection="1">
      <alignment horizontal="left" vertical="center" wrapText="1"/>
    </xf>
    <xf numFmtId="0" fontId="0" fillId="3" borderId="49" xfId="0" applyFill="1" applyBorder="1" applyAlignment="1" applyProtection="1">
      <alignment horizontal="left" vertical="center" wrapText="1"/>
    </xf>
    <xf numFmtId="0" fontId="2" fillId="0" borderId="38" xfId="0" applyFont="1" applyBorder="1" applyAlignment="1" applyProtection="1">
      <alignment horizontal="center" vertical="center" wrapText="1"/>
    </xf>
    <xf numFmtId="0" fontId="2" fillId="0" borderId="36" xfId="0" applyFont="1" applyBorder="1" applyAlignment="1" applyProtection="1">
      <alignment horizontal="center" vertical="center" wrapText="1"/>
    </xf>
    <xf numFmtId="0" fontId="2" fillId="0" borderId="34" xfId="0" applyFont="1" applyBorder="1" applyAlignment="1" applyProtection="1">
      <alignment horizontal="center" vertical="center" wrapText="1"/>
    </xf>
    <xf numFmtId="49" fontId="4" fillId="5" borderId="35" xfId="0" applyNumberFormat="1" applyFont="1" applyFill="1" applyBorder="1" applyAlignment="1" applyProtection="1">
      <alignment horizontal="center" vertical="center" wrapText="1"/>
      <protection locked="0"/>
    </xf>
    <xf numFmtId="49" fontId="4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4" fillId="5" borderId="3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</xf>
    <xf numFmtId="0" fontId="2" fillId="0" borderId="24" xfId="0" applyFont="1" applyBorder="1" applyAlignment="1" applyProtection="1">
      <alignment horizontal="center" vertical="center" wrapText="1"/>
    </xf>
    <xf numFmtId="165" fontId="4" fillId="4" borderId="37" xfId="0" applyNumberFormat="1" applyFont="1" applyFill="1" applyBorder="1" applyAlignment="1" applyProtection="1">
      <alignment horizontal="center" vertical="center" wrapText="1"/>
      <protection locked="0"/>
    </xf>
    <xf numFmtId="165" fontId="4" fillId="4" borderId="57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0</xdr:row>
          <xdr:rowOff>47625</xdr:rowOff>
        </xdr:from>
        <xdr:to>
          <xdr:col>0</xdr:col>
          <xdr:colOff>685800</xdr:colOff>
          <xdr:row>1</xdr:row>
          <xdr:rowOff>428625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B03C-CA34-4DA1-826F-B646324E245D}">
  <sheetPr codeName="Hoja1"/>
  <dimension ref="A1:T54"/>
  <sheetViews>
    <sheetView tabSelected="1" zoomScaleNormal="100" workbookViewId="0">
      <selection activeCell="E27" sqref="E27"/>
    </sheetView>
  </sheetViews>
  <sheetFormatPr baseColWidth="10" defaultRowHeight="11.25" x14ac:dyDescent="0.2"/>
  <cols>
    <col min="1" max="1" width="11.28515625" style="2" customWidth="1"/>
    <col min="2" max="2" width="6.7109375" style="2" customWidth="1"/>
    <col min="3" max="3" width="7.28515625" style="2" customWidth="1"/>
    <col min="4" max="4" width="10.42578125" style="2" customWidth="1"/>
    <col min="5" max="5" width="11.85546875" style="2" customWidth="1"/>
    <col min="6" max="7" width="11.140625" style="2" customWidth="1"/>
    <col min="8" max="8" width="11.85546875" style="2" customWidth="1"/>
    <col min="9" max="9" width="12.85546875" style="2" customWidth="1"/>
    <col min="10" max="10" width="10.28515625" style="2" customWidth="1"/>
    <col min="11" max="11" width="10.5703125" style="2" customWidth="1"/>
    <col min="12" max="12" width="9.7109375" style="2" customWidth="1"/>
    <col min="13" max="13" width="6.7109375" style="2" customWidth="1"/>
    <col min="14" max="14" width="3.28515625" style="2" customWidth="1"/>
    <col min="15" max="15" width="15.85546875" style="2" bestFit="1" customWidth="1"/>
    <col min="16" max="16" width="3.5703125" style="2" hidden="1" customWidth="1"/>
    <col min="17" max="17" width="53.85546875" style="2" hidden="1" customWidth="1"/>
    <col min="18" max="18" width="6.42578125" style="2" hidden="1" customWidth="1"/>
    <col min="19" max="19" width="10.140625" style="2" hidden="1" customWidth="1"/>
    <col min="20" max="20" width="16.140625" style="2" hidden="1" customWidth="1"/>
    <col min="21" max="21" width="0" style="2" hidden="1" customWidth="1"/>
    <col min="22" max="16384" width="11.42578125" style="2"/>
  </cols>
  <sheetData>
    <row r="1" spans="1:20" s="16" customFormat="1" ht="11.25" customHeight="1" x14ac:dyDescent="0.2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6"/>
      <c r="T1" s="107" t="s">
        <v>111</v>
      </c>
    </row>
    <row r="2" spans="1:20" s="16" customFormat="1" ht="37.5" customHeight="1" thickBot="1" x14ac:dyDescent="0.25">
      <c r="A2" s="21"/>
      <c r="B2" s="163" t="s">
        <v>165</v>
      </c>
      <c r="C2" s="163"/>
      <c r="D2" s="163"/>
      <c r="E2" s="167" t="s">
        <v>64</v>
      </c>
      <c r="F2" s="168"/>
      <c r="G2" s="168"/>
      <c r="H2" s="168"/>
      <c r="I2" s="168"/>
      <c r="J2" s="168"/>
      <c r="K2" s="168"/>
      <c r="L2" s="168"/>
      <c r="M2" s="168"/>
      <c r="N2" s="168"/>
      <c r="O2" s="169"/>
      <c r="R2" s="17" t="s">
        <v>88</v>
      </c>
      <c r="S2" s="18" t="s">
        <v>94</v>
      </c>
      <c r="T2" s="107" t="s">
        <v>112</v>
      </c>
    </row>
    <row r="3" spans="1:20" s="8" customFormat="1" ht="15" customHeight="1" thickBot="1" x14ac:dyDescent="0.25">
      <c r="A3" s="170" t="s">
        <v>55</v>
      </c>
      <c r="B3" s="171"/>
      <c r="C3" s="171"/>
      <c r="D3" s="172"/>
      <c r="E3" s="176" t="s">
        <v>163</v>
      </c>
      <c r="F3" s="177"/>
      <c r="G3" s="78" t="s">
        <v>56</v>
      </c>
      <c r="H3" s="79" t="s">
        <v>57</v>
      </c>
      <c r="I3" s="80" t="s">
        <v>58</v>
      </c>
      <c r="J3" s="81" t="s">
        <v>104</v>
      </c>
      <c r="K3" s="157" t="s">
        <v>59</v>
      </c>
      <c r="L3" s="158"/>
      <c r="M3" s="158"/>
      <c r="N3" s="158"/>
      <c r="O3" s="159"/>
      <c r="Q3" s="13">
        <v>0</v>
      </c>
      <c r="R3" s="11" t="s">
        <v>93</v>
      </c>
      <c r="S3" s="12" t="s">
        <v>95</v>
      </c>
      <c r="T3" s="107" t="s">
        <v>113</v>
      </c>
    </row>
    <row r="4" spans="1:20" s="1" customFormat="1" ht="18.75" customHeight="1" thickBot="1" x14ac:dyDescent="0.25">
      <c r="A4" s="173"/>
      <c r="B4" s="174"/>
      <c r="C4" s="174"/>
      <c r="D4" s="175"/>
      <c r="E4" s="178"/>
      <c r="F4" s="179"/>
      <c r="G4" s="83"/>
      <c r="H4" s="82"/>
      <c r="I4" s="108"/>
      <c r="J4" s="83"/>
      <c r="K4" s="160"/>
      <c r="L4" s="161"/>
      <c r="M4" s="161"/>
      <c r="N4" s="161"/>
      <c r="O4" s="162"/>
      <c r="Q4" s="14">
        <v>1</v>
      </c>
      <c r="R4" s="31" t="s">
        <v>89</v>
      </c>
      <c r="S4" s="31" t="s">
        <v>96</v>
      </c>
      <c r="T4" s="107" t="s">
        <v>114</v>
      </c>
    </row>
    <row r="5" spans="1:20" s="1" customFormat="1" ht="25.5" customHeight="1" thickBot="1" x14ac:dyDescent="0.25">
      <c r="A5" s="154" t="s">
        <v>61</v>
      </c>
      <c r="B5" s="155"/>
      <c r="C5" s="156"/>
      <c r="D5" s="76" t="s">
        <v>49</v>
      </c>
      <c r="E5" s="77" t="s">
        <v>50</v>
      </c>
      <c r="F5" s="74" t="s">
        <v>51</v>
      </c>
      <c r="G5" s="75" t="s">
        <v>52</v>
      </c>
      <c r="H5" s="84" t="s">
        <v>60</v>
      </c>
      <c r="I5" s="85" t="s">
        <v>62</v>
      </c>
      <c r="J5" s="76" t="s">
        <v>53</v>
      </c>
      <c r="K5" s="75" t="s">
        <v>54</v>
      </c>
      <c r="L5" s="135" t="s">
        <v>63</v>
      </c>
      <c r="M5" s="136"/>
      <c r="N5" s="136"/>
      <c r="O5" s="137"/>
      <c r="Q5" s="14">
        <v>2</v>
      </c>
      <c r="R5" s="31" t="s">
        <v>90</v>
      </c>
      <c r="S5" s="31" t="s">
        <v>100</v>
      </c>
      <c r="T5" s="107" t="s">
        <v>115</v>
      </c>
    </row>
    <row r="6" spans="1:20" s="1" customFormat="1" ht="20.25" customHeight="1" thickBot="1" x14ac:dyDescent="0.25">
      <c r="A6" s="132" t="s">
        <v>65</v>
      </c>
      <c r="B6" s="133"/>
      <c r="C6" s="134"/>
      <c r="D6" s="86"/>
      <c r="E6" s="87"/>
      <c r="F6" s="87"/>
      <c r="G6" s="83"/>
      <c r="H6" s="86"/>
      <c r="I6" s="83"/>
      <c r="J6" s="86"/>
      <c r="K6" s="83"/>
      <c r="L6" s="138"/>
      <c r="M6" s="139"/>
      <c r="N6" s="139"/>
      <c r="O6" s="140"/>
      <c r="P6" s="33"/>
      <c r="Q6" s="14" t="s">
        <v>164</v>
      </c>
      <c r="R6" s="31" t="s">
        <v>91</v>
      </c>
      <c r="S6" s="31" t="s">
        <v>97</v>
      </c>
      <c r="T6" s="107" t="s">
        <v>116</v>
      </c>
    </row>
    <row r="7" spans="1:20" ht="12" customHeight="1" x14ac:dyDescent="0.2">
      <c r="A7" s="141" t="s">
        <v>47</v>
      </c>
      <c r="B7" s="144" t="s">
        <v>48</v>
      </c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6"/>
      <c r="O7" s="152" t="s">
        <v>101</v>
      </c>
      <c r="R7" s="9" t="s">
        <v>92</v>
      </c>
      <c r="S7" s="10" t="s">
        <v>98</v>
      </c>
      <c r="T7" s="107" t="s">
        <v>117</v>
      </c>
    </row>
    <row r="8" spans="1:20" ht="9.75" customHeight="1" thickBot="1" x14ac:dyDescent="0.25">
      <c r="A8" s="142"/>
      <c r="B8" s="147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9"/>
      <c r="O8" s="153"/>
      <c r="S8" s="10" t="s">
        <v>99</v>
      </c>
      <c r="T8" s="107" t="s">
        <v>118</v>
      </c>
    </row>
    <row r="9" spans="1:20" s="1" customFormat="1" ht="15" customHeight="1" thickTop="1" x14ac:dyDescent="0.2">
      <c r="A9" s="142"/>
      <c r="B9" s="65" t="s">
        <v>31</v>
      </c>
      <c r="C9" s="34" t="s">
        <v>42</v>
      </c>
      <c r="D9" s="35" t="s">
        <v>43</v>
      </c>
      <c r="E9" s="35">
        <v>3</v>
      </c>
      <c r="F9" s="7">
        <v>4</v>
      </c>
      <c r="G9" s="64" t="s">
        <v>32</v>
      </c>
      <c r="H9" s="34">
        <v>5</v>
      </c>
      <c r="I9" s="35" t="s">
        <v>44</v>
      </c>
      <c r="J9" s="35" t="s">
        <v>45</v>
      </c>
      <c r="K9" s="35" t="s">
        <v>46</v>
      </c>
      <c r="L9" s="7">
        <v>7</v>
      </c>
      <c r="M9" s="150" t="s">
        <v>33</v>
      </c>
      <c r="N9" s="151"/>
      <c r="O9" s="153"/>
      <c r="Q9" s="31" t="s">
        <v>65</v>
      </c>
      <c r="T9" s="107" t="s">
        <v>119</v>
      </c>
    </row>
    <row r="10" spans="1:20" s="1" customFormat="1" ht="21" customHeight="1" thickBot="1" x14ac:dyDescent="0.25">
      <c r="A10" s="143"/>
      <c r="B10" s="66" t="s">
        <v>2</v>
      </c>
      <c r="C10" s="25" t="s">
        <v>3</v>
      </c>
      <c r="D10" s="26" t="s">
        <v>36</v>
      </c>
      <c r="E10" s="27" t="s">
        <v>4</v>
      </c>
      <c r="F10" s="28" t="s">
        <v>35</v>
      </c>
      <c r="G10" s="63" t="s">
        <v>34</v>
      </c>
      <c r="H10" s="29" t="s">
        <v>37</v>
      </c>
      <c r="I10" s="27" t="s">
        <v>38</v>
      </c>
      <c r="J10" s="26" t="s">
        <v>39</v>
      </c>
      <c r="K10" s="26" t="s">
        <v>40</v>
      </c>
      <c r="L10" s="4" t="s">
        <v>5</v>
      </c>
      <c r="M10" s="118" t="s">
        <v>41</v>
      </c>
      <c r="N10" s="119"/>
      <c r="O10" s="153"/>
      <c r="Q10" s="31" t="s">
        <v>66</v>
      </c>
      <c r="T10" s="107" t="s">
        <v>120</v>
      </c>
    </row>
    <row r="11" spans="1:20" s="1" customFormat="1" ht="10.5" customHeight="1" x14ac:dyDescent="0.2">
      <c r="A11" s="88" t="s">
        <v>0</v>
      </c>
      <c r="B11" s="67"/>
      <c r="C11" s="93"/>
      <c r="D11" s="94"/>
      <c r="E11" s="95"/>
      <c r="F11" s="96"/>
      <c r="G11" s="36">
        <f>SUM(C11:F11)</f>
        <v>0</v>
      </c>
      <c r="H11" s="101"/>
      <c r="I11" s="95"/>
      <c r="J11" s="94"/>
      <c r="K11" s="94"/>
      <c r="L11" s="102"/>
      <c r="M11" s="120">
        <f>SUM(H11:L11)</f>
        <v>0</v>
      </c>
      <c r="N11" s="121"/>
      <c r="O11" s="37">
        <f t="shared" ref="O11:O34" si="0">+G11+M11+B11</f>
        <v>0</v>
      </c>
      <c r="Q11" s="31" t="s">
        <v>67</v>
      </c>
      <c r="T11" s="107" t="s">
        <v>121</v>
      </c>
    </row>
    <row r="12" spans="1:20" s="1" customFormat="1" ht="10.5" customHeight="1" x14ac:dyDescent="0.2">
      <c r="A12" s="89" t="s">
        <v>6</v>
      </c>
      <c r="B12" s="68"/>
      <c r="C12" s="97"/>
      <c r="D12" s="98"/>
      <c r="E12" s="98"/>
      <c r="F12" s="99"/>
      <c r="G12" s="38">
        <f t="shared" ref="G12:G34" si="1">SUM(C12:F12)</f>
        <v>0</v>
      </c>
      <c r="H12" s="97"/>
      <c r="I12" s="98"/>
      <c r="J12" s="98"/>
      <c r="K12" s="98"/>
      <c r="L12" s="99"/>
      <c r="M12" s="116">
        <f t="shared" ref="M12:M33" si="2">SUM(H12:L12)</f>
        <v>0</v>
      </c>
      <c r="N12" s="117"/>
      <c r="O12" s="38">
        <f t="shared" si="0"/>
        <v>0</v>
      </c>
      <c r="Q12" s="31" t="s">
        <v>68</v>
      </c>
      <c r="T12" s="107" t="s">
        <v>122</v>
      </c>
    </row>
    <row r="13" spans="1:20" s="1" customFormat="1" ht="14.1" customHeight="1" x14ac:dyDescent="0.2">
      <c r="A13" s="90" t="s">
        <v>7</v>
      </c>
      <c r="B13" s="69"/>
      <c r="C13" s="39"/>
      <c r="D13" s="40"/>
      <c r="E13" s="40"/>
      <c r="F13" s="41"/>
      <c r="G13" s="38">
        <f t="shared" si="1"/>
        <v>0</v>
      </c>
      <c r="H13" s="39"/>
      <c r="I13" s="40"/>
      <c r="J13" s="40"/>
      <c r="K13" s="40"/>
      <c r="L13" s="41"/>
      <c r="M13" s="116">
        <f t="shared" si="2"/>
        <v>0</v>
      </c>
      <c r="N13" s="117"/>
      <c r="O13" s="38">
        <f t="shared" si="0"/>
        <v>0</v>
      </c>
      <c r="R13" s="1">
        <v>1</v>
      </c>
      <c r="T13" s="107" t="s">
        <v>123</v>
      </c>
    </row>
    <row r="14" spans="1:20" s="1" customFormat="1" ht="14.1" customHeight="1" x14ac:dyDescent="0.2">
      <c r="A14" s="20" t="s">
        <v>8</v>
      </c>
      <c r="B14" s="69"/>
      <c r="C14" s="39"/>
      <c r="D14" s="40"/>
      <c r="E14" s="40"/>
      <c r="F14" s="41"/>
      <c r="G14" s="38">
        <f t="shared" si="1"/>
        <v>0</v>
      </c>
      <c r="H14" s="39"/>
      <c r="I14" s="40"/>
      <c r="J14" s="40"/>
      <c r="K14" s="40"/>
      <c r="L14" s="41"/>
      <c r="M14" s="116">
        <f t="shared" si="2"/>
        <v>0</v>
      </c>
      <c r="N14" s="117"/>
      <c r="O14" s="38">
        <f t="shared" si="0"/>
        <v>0</v>
      </c>
      <c r="Q14" s="1" t="s">
        <v>69</v>
      </c>
      <c r="R14" s="1">
        <v>2</v>
      </c>
      <c r="S14" s="1" t="s">
        <v>106</v>
      </c>
      <c r="T14" s="107" t="s">
        <v>124</v>
      </c>
    </row>
    <row r="15" spans="1:20" s="1" customFormat="1" ht="14.1" customHeight="1" x14ac:dyDescent="0.2">
      <c r="A15" s="91" t="s">
        <v>9</v>
      </c>
      <c r="B15" s="69"/>
      <c r="C15" s="39"/>
      <c r="D15" s="40"/>
      <c r="E15" s="40"/>
      <c r="F15" s="41"/>
      <c r="G15" s="38">
        <f t="shared" si="1"/>
        <v>0</v>
      </c>
      <c r="H15" s="39"/>
      <c r="I15" s="40"/>
      <c r="J15" s="40"/>
      <c r="K15" s="40"/>
      <c r="L15" s="41"/>
      <c r="M15" s="116">
        <f t="shared" si="2"/>
        <v>0</v>
      </c>
      <c r="N15" s="117"/>
      <c r="O15" s="38">
        <f t="shared" si="0"/>
        <v>0</v>
      </c>
      <c r="Q15" s="1" t="s">
        <v>70</v>
      </c>
      <c r="R15" s="1">
        <v>3</v>
      </c>
      <c r="S15" s="1" t="s">
        <v>107</v>
      </c>
      <c r="T15" s="107" t="s">
        <v>125</v>
      </c>
    </row>
    <row r="16" spans="1:20" s="1" customFormat="1" ht="14.1" customHeight="1" x14ac:dyDescent="0.2">
      <c r="A16" s="91" t="s">
        <v>10</v>
      </c>
      <c r="B16" s="69"/>
      <c r="C16" s="39"/>
      <c r="D16" s="40"/>
      <c r="E16" s="40"/>
      <c r="F16" s="41"/>
      <c r="G16" s="38">
        <f t="shared" si="1"/>
        <v>0</v>
      </c>
      <c r="H16" s="39"/>
      <c r="I16" s="40"/>
      <c r="J16" s="40"/>
      <c r="K16" s="40"/>
      <c r="L16" s="41"/>
      <c r="M16" s="116">
        <f t="shared" si="2"/>
        <v>0</v>
      </c>
      <c r="N16" s="117"/>
      <c r="O16" s="38">
        <f t="shared" si="0"/>
        <v>0</v>
      </c>
      <c r="Q16" s="1" t="s">
        <v>71</v>
      </c>
      <c r="R16" s="1">
        <v>4</v>
      </c>
      <c r="S16" s="1" t="s">
        <v>105</v>
      </c>
      <c r="T16" s="107" t="s">
        <v>126</v>
      </c>
    </row>
    <row r="17" spans="1:20" s="1" customFormat="1" ht="14.1" customHeight="1" x14ac:dyDescent="0.2">
      <c r="A17" s="91" t="s">
        <v>11</v>
      </c>
      <c r="B17" s="69"/>
      <c r="C17" s="39"/>
      <c r="D17" s="40"/>
      <c r="E17" s="40"/>
      <c r="F17" s="41"/>
      <c r="G17" s="38">
        <f t="shared" si="1"/>
        <v>0</v>
      </c>
      <c r="H17" s="39"/>
      <c r="I17" s="40"/>
      <c r="J17" s="40"/>
      <c r="K17" s="40"/>
      <c r="L17" s="41"/>
      <c r="M17" s="116">
        <f t="shared" si="2"/>
        <v>0</v>
      </c>
      <c r="N17" s="117"/>
      <c r="O17" s="38">
        <f t="shared" si="0"/>
        <v>0</v>
      </c>
      <c r="Q17" s="1" t="s">
        <v>72</v>
      </c>
      <c r="R17" s="1">
        <v>5</v>
      </c>
      <c r="S17" s="1" t="s">
        <v>108</v>
      </c>
      <c r="T17" s="107" t="s">
        <v>127</v>
      </c>
    </row>
    <row r="18" spans="1:20" s="1" customFormat="1" ht="14.1" customHeight="1" x14ac:dyDescent="0.2">
      <c r="A18" s="91" t="s">
        <v>12</v>
      </c>
      <c r="B18" s="69"/>
      <c r="C18" s="39"/>
      <c r="D18" s="40"/>
      <c r="E18" s="40"/>
      <c r="F18" s="41"/>
      <c r="G18" s="38">
        <f t="shared" si="1"/>
        <v>0</v>
      </c>
      <c r="H18" s="39"/>
      <c r="I18" s="40"/>
      <c r="J18" s="40"/>
      <c r="K18" s="40"/>
      <c r="L18" s="41"/>
      <c r="M18" s="116">
        <f t="shared" si="2"/>
        <v>0</v>
      </c>
      <c r="N18" s="117"/>
      <c r="O18" s="38">
        <f t="shared" si="0"/>
        <v>0</v>
      </c>
      <c r="Q18" s="1" t="s">
        <v>75</v>
      </c>
      <c r="R18" s="1">
        <v>6</v>
      </c>
      <c r="S18" s="1" t="s">
        <v>109</v>
      </c>
      <c r="T18" s="107" t="s">
        <v>128</v>
      </c>
    </row>
    <row r="19" spans="1:20" s="1" customFormat="1" ht="10.5" customHeight="1" x14ac:dyDescent="0.2">
      <c r="A19" s="89" t="s">
        <v>13</v>
      </c>
      <c r="B19" s="68"/>
      <c r="C19" s="97"/>
      <c r="D19" s="98"/>
      <c r="E19" s="98"/>
      <c r="F19" s="99"/>
      <c r="G19" s="38">
        <f t="shared" si="1"/>
        <v>0</v>
      </c>
      <c r="H19" s="97"/>
      <c r="I19" s="98"/>
      <c r="J19" s="98"/>
      <c r="K19" s="98"/>
      <c r="L19" s="99"/>
      <c r="M19" s="116">
        <f t="shared" si="2"/>
        <v>0</v>
      </c>
      <c r="N19" s="117"/>
      <c r="O19" s="38">
        <f t="shared" si="0"/>
        <v>0</v>
      </c>
      <c r="Q19" s="1" t="s">
        <v>73</v>
      </c>
      <c r="R19" s="1">
        <v>7</v>
      </c>
      <c r="T19" s="107" t="s">
        <v>129</v>
      </c>
    </row>
    <row r="20" spans="1:20" s="1" customFormat="1" ht="10.5" customHeight="1" x14ac:dyDescent="0.2">
      <c r="A20" s="22" t="s">
        <v>14</v>
      </c>
      <c r="B20" s="68"/>
      <c r="C20" s="97"/>
      <c r="D20" s="98"/>
      <c r="E20" s="98"/>
      <c r="F20" s="99"/>
      <c r="G20" s="38">
        <f t="shared" si="1"/>
        <v>0</v>
      </c>
      <c r="H20" s="97"/>
      <c r="I20" s="98"/>
      <c r="J20" s="98"/>
      <c r="K20" s="98"/>
      <c r="L20" s="99"/>
      <c r="M20" s="116">
        <f t="shared" si="2"/>
        <v>0</v>
      </c>
      <c r="N20" s="117"/>
      <c r="O20" s="38">
        <f t="shared" si="0"/>
        <v>0</v>
      </c>
      <c r="Q20" s="1" t="s">
        <v>74</v>
      </c>
      <c r="R20" s="1">
        <v>8</v>
      </c>
      <c r="S20" s="1">
        <v>2019</v>
      </c>
      <c r="T20" s="107" t="s">
        <v>130</v>
      </c>
    </row>
    <row r="21" spans="1:20" s="1" customFormat="1" ht="10.5" customHeight="1" x14ac:dyDescent="0.2">
      <c r="A21" s="92" t="s">
        <v>15</v>
      </c>
      <c r="B21" s="68"/>
      <c r="C21" s="97"/>
      <c r="D21" s="98"/>
      <c r="E21" s="98"/>
      <c r="F21" s="99"/>
      <c r="G21" s="38">
        <f t="shared" si="1"/>
        <v>0</v>
      </c>
      <c r="H21" s="97"/>
      <c r="I21" s="98"/>
      <c r="J21" s="98"/>
      <c r="K21" s="98"/>
      <c r="L21" s="99"/>
      <c r="M21" s="116">
        <f t="shared" si="2"/>
        <v>0</v>
      </c>
      <c r="N21" s="117"/>
      <c r="O21" s="38">
        <f t="shared" si="0"/>
        <v>0</v>
      </c>
      <c r="R21" s="1">
        <v>9</v>
      </c>
      <c r="S21" s="1">
        <v>2020</v>
      </c>
      <c r="T21" s="107" t="s">
        <v>131</v>
      </c>
    </row>
    <row r="22" spans="1:20" s="1" customFormat="1" ht="10.5" customHeight="1" x14ac:dyDescent="0.2">
      <c r="A22" s="89" t="s">
        <v>16</v>
      </c>
      <c r="B22" s="68"/>
      <c r="C22" s="97"/>
      <c r="D22" s="98"/>
      <c r="E22" s="98"/>
      <c r="F22" s="99"/>
      <c r="G22" s="38">
        <f t="shared" si="1"/>
        <v>0</v>
      </c>
      <c r="H22" s="97"/>
      <c r="I22" s="98"/>
      <c r="J22" s="98"/>
      <c r="K22" s="98"/>
      <c r="L22" s="99"/>
      <c r="M22" s="116">
        <f t="shared" si="2"/>
        <v>0</v>
      </c>
      <c r="N22" s="117"/>
      <c r="O22" s="38">
        <f t="shared" si="0"/>
        <v>0</v>
      </c>
      <c r="Q22" s="1" t="s">
        <v>76</v>
      </c>
      <c r="R22" s="1">
        <v>10</v>
      </c>
      <c r="S22" s="1">
        <v>2021</v>
      </c>
      <c r="T22" s="107" t="s">
        <v>132</v>
      </c>
    </row>
    <row r="23" spans="1:20" s="1" customFormat="1" ht="10.5" customHeight="1" x14ac:dyDescent="0.2">
      <c r="A23" s="22" t="s">
        <v>17</v>
      </c>
      <c r="B23" s="68"/>
      <c r="C23" s="97"/>
      <c r="D23" s="98"/>
      <c r="E23" s="98"/>
      <c r="F23" s="99"/>
      <c r="G23" s="38">
        <f t="shared" si="1"/>
        <v>0</v>
      </c>
      <c r="H23" s="97"/>
      <c r="I23" s="98"/>
      <c r="J23" s="98"/>
      <c r="K23" s="98"/>
      <c r="L23" s="99"/>
      <c r="M23" s="116">
        <f t="shared" si="2"/>
        <v>0</v>
      </c>
      <c r="N23" s="117"/>
      <c r="O23" s="38">
        <f t="shared" si="0"/>
        <v>0</v>
      </c>
      <c r="Q23" s="1" t="s">
        <v>77</v>
      </c>
      <c r="R23" s="1">
        <v>11</v>
      </c>
      <c r="S23" s="1">
        <v>2022</v>
      </c>
      <c r="T23" s="107" t="s">
        <v>133</v>
      </c>
    </row>
    <row r="24" spans="1:20" s="1" customFormat="1" ht="10.5" customHeight="1" x14ac:dyDescent="0.2">
      <c r="A24" s="92" t="s">
        <v>18</v>
      </c>
      <c r="B24" s="68"/>
      <c r="C24" s="97"/>
      <c r="D24" s="98"/>
      <c r="E24" s="98"/>
      <c r="F24" s="99"/>
      <c r="G24" s="38">
        <f t="shared" si="1"/>
        <v>0</v>
      </c>
      <c r="H24" s="97"/>
      <c r="I24" s="98"/>
      <c r="J24" s="98"/>
      <c r="K24" s="98"/>
      <c r="L24" s="99"/>
      <c r="M24" s="116">
        <f t="shared" si="2"/>
        <v>0</v>
      </c>
      <c r="N24" s="117"/>
      <c r="O24" s="38">
        <f t="shared" si="0"/>
        <v>0</v>
      </c>
      <c r="Q24" s="1" t="s">
        <v>78</v>
      </c>
      <c r="R24" s="1">
        <v>12</v>
      </c>
      <c r="S24" s="1">
        <v>2023</v>
      </c>
      <c r="T24" s="107" t="s">
        <v>134</v>
      </c>
    </row>
    <row r="25" spans="1:20" s="1" customFormat="1" ht="10.5" customHeight="1" x14ac:dyDescent="0.2">
      <c r="A25" s="92" t="s">
        <v>19</v>
      </c>
      <c r="B25" s="68"/>
      <c r="C25" s="97"/>
      <c r="D25" s="98"/>
      <c r="E25" s="98"/>
      <c r="F25" s="99"/>
      <c r="G25" s="38">
        <f t="shared" si="1"/>
        <v>0</v>
      </c>
      <c r="H25" s="97"/>
      <c r="I25" s="98"/>
      <c r="J25" s="98"/>
      <c r="K25" s="98"/>
      <c r="L25" s="99"/>
      <c r="M25" s="116">
        <f t="shared" si="2"/>
        <v>0</v>
      </c>
      <c r="N25" s="117"/>
      <c r="O25" s="38">
        <f t="shared" si="0"/>
        <v>0</v>
      </c>
      <c r="Q25" s="1" t="s">
        <v>79</v>
      </c>
      <c r="R25" s="1">
        <v>13</v>
      </c>
      <c r="S25" s="1">
        <v>2024</v>
      </c>
      <c r="T25" s="107" t="s">
        <v>135</v>
      </c>
    </row>
    <row r="26" spans="1:20" s="1" customFormat="1" ht="10.5" customHeight="1" x14ac:dyDescent="0.2">
      <c r="A26" s="89" t="s">
        <v>20</v>
      </c>
      <c r="B26" s="68"/>
      <c r="C26" s="97"/>
      <c r="D26" s="98"/>
      <c r="E26" s="98"/>
      <c r="F26" s="99"/>
      <c r="G26" s="38">
        <f t="shared" si="1"/>
        <v>0</v>
      </c>
      <c r="H26" s="97"/>
      <c r="I26" s="98"/>
      <c r="J26" s="98"/>
      <c r="K26" s="98"/>
      <c r="L26" s="99"/>
      <c r="M26" s="116">
        <f t="shared" si="2"/>
        <v>0</v>
      </c>
      <c r="N26" s="117"/>
      <c r="O26" s="38">
        <f t="shared" si="0"/>
        <v>0</v>
      </c>
      <c r="Q26" s="1" t="s">
        <v>80</v>
      </c>
      <c r="R26" s="1">
        <v>14</v>
      </c>
      <c r="S26" s="1">
        <v>2025</v>
      </c>
      <c r="T26" s="107" t="s">
        <v>136</v>
      </c>
    </row>
    <row r="27" spans="1:20" s="1" customFormat="1" ht="10.5" customHeight="1" x14ac:dyDescent="0.2">
      <c r="A27" s="89" t="s">
        <v>1</v>
      </c>
      <c r="B27" s="68"/>
      <c r="C27" s="97"/>
      <c r="D27" s="98"/>
      <c r="E27" s="98"/>
      <c r="F27" s="99"/>
      <c r="G27" s="38">
        <f t="shared" si="1"/>
        <v>0</v>
      </c>
      <c r="H27" s="97"/>
      <c r="I27" s="98"/>
      <c r="J27" s="98"/>
      <c r="K27" s="98"/>
      <c r="L27" s="99"/>
      <c r="M27" s="116">
        <f t="shared" si="2"/>
        <v>0</v>
      </c>
      <c r="N27" s="117"/>
      <c r="O27" s="38">
        <f t="shared" si="0"/>
        <v>0</v>
      </c>
      <c r="Q27" s="1" t="s">
        <v>81</v>
      </c>
      <c r="R27" s="1">
        <v>15</v>
      </c>
      <c r="S27" s="1">
        <v>2026</v>
      </c>
      <c r="T27" s="107" t="s">
        <v>137</v>
      </c>
    </row>
    <row r="28" spans="1:20" s="1" customFormat="1" ht="10.5" customHeight="1" x14ac:dyDescent="0.2">
      <c r="A28" s="22" t="s">
        <v>21</v>
      </c>
      <c r="B28" s="68"/>
      <c r="C28" s="97"/>
      <c r="D28" s="98"/>
      <c r="E28" s="98"/>
      <c r="F28" s="99"/>
      <c r="G28" s="38">
        <f t="shared" si="1"/>
        <v>0</v>
      </c>
      <c r="H28" s="97"/>
      <c r="I28" s="98"/>
      <c r="J28" s="98"/>
      <c r="K28" s="98"/>
      <c r="L28" s="99"/>
      <c r="M28" s="116">
        <f t="shared" si="2"/>
        <v>0</v>
      </c>
      <c r="N28" s="117"/>
      <c r="O28" s="38">
        <f t="shared" si="0"/>
        <v>0</v>
      </c>
      <c r="Q28" s="1" t="s">
        <v>82</v>
      </c>
      <c r="R28" s="5">
        <v>16</v>
      </c>
      <c r="S28" s="1">
        <v>2027</v>
      </c>
      <c r="T28" s="107" t="s">
        <v>138</v>
      </c>
    </row>
    <row r="29" spans="1:20" s="1" customFormat="1" ht="10.5" customHeight="1" x14ac:dyDescent="0.2">
      <c r="A29" s="92" t="s">
        <v>22</v>
      </c>
      <c r="B29" s="68"/>
      <c r="C29" s="97"/>
      <c r="D29" s="98"/>
      <c r="E29" s="98"/>
      <c r="F29" s="99"/>
      <c r="G29" s="38">
        <f t="shared" si="1"/>
        <v>0</v>
      </c>
      <c r="H29" s="97"/>
      <c r="I29" s="98"/>
      <c r="J29" s="98"/>
      <c r="K29" s="98"/>
      <c r="L29" s="99"/>
      <c r="M29" s="116">
        <f t="shared" si="2"/>
        <v>0</v>
      </c>
      <c r="N29" s="117"/>
      <c r="O29" s="38">
        <f t="shared" si="0"/>
        <v>0</v>
      </c>
      <c r="Q29" s="1" t="s">
        <v>83</v>
      </c>
      <c r="R29" s="1">
        <v>17</v>
      </c>
      <c r="S29" s="1">
        <v>2028</v>
      </c>
      <c r="T29" s="107" t="s">
        <v>139</v>
      </c>
    </row>
    <row r="30" spans="1:20" s="1" customFormat="1" ht="10.5" customHeight="1" x14ac:dyDescent="0.2">
      <c r="A30" s="89" t="s">
        <v>23</v>
      </c>
      <c r="B30" s="68"/>
      <c r="C30" s="97"/>
      <c r="D30" s="98"/>
      <c r="E30" s="98"/>
      <c r="F30" s="99"/>
      <c r="G30" s="38">
        <f t="shared" si="1"/>
        <v>0</v>
      </c>
      <c r="H30" s="97"/>
      <c r="I30" s="98"/>
      <c r="J30" s="98"/>
      <c r="K30" s="98"/>
      <c r="L30" s="99"/>
      <c r="M30" s="116">
        <f t="shared" si="2"/>
        <v>0</v>
      </c>
      <c r="N30" s="117"/>
      <c r="O30" s="38">
        <f t="shared" si="0"/>
        <v>0</v>
      </c>
      <c r="Q30" s="1" t="s">
        <v>84</v>
      </c>
      <c r="R30" s="33">
        <v>18</v>
      </c>
      <c r="S30" s="1">
        <v>2029</v>
      </c>
      <c r="T30" s="107" t="s">
        <v>140</v>
      </c>
    </row>
    <row r="31" spans="1:20" s="1" customFormat="1" ht="10.5" customHeight="1" x14ac:dyDescent="0.2">
      <c r="A31" s="89" t="s">
        <v>24</v>
      </c>
      <c r="B31" s="68"/>
      <c r="C31" s="97"/>
      <c r="D31" s="98"/>
      <c r="E31" s="98"/>
      <c r="F31" s="99"/>
      <c r="G31" s="38">
        <f t="shared" si="1"/>
        <v>0</v>
      </c>
      <c r="H31" s="97"/>
      <c r="I31" s="98"/>
      <c r="J31" s="98"/>
      <c r="K31" s="98"/>
      <c r="L31" s="99"/>
      <c r="M31" s="116">
        <f t="shared" si="2"/>
        <v>0</v>
      </c>
      <c r="N31" s="117"/>
      <c r="O31" s="38">
        <f t="shared" si="0"/>
        <v>0</v>
      </c>
      <c r="Q31" s="1" t="s">
        <v>85</v>
      </c>
      <c r="R31" s="1">
        <v>19</v>
      </c>
      <c r="S31" s="1">
        <v>2030</v>
      </c>
      <c r="T31" s="107" t="s">
        <v>141</v>
      </c>
    </row>
    <row r="32" spans="1:20" s="1" customFormat="1" ht="10.5" customHeight="1" x14ac:dyDescent="0.2">
      <c r="A32" s="89" t="s">
        <v>25</v>
      </c>
      <c r="B32" s="68"/>
      <c r="C32" s="97"/>
      <c r="D32" s="98"/>
      <c r="E32" s="98"/>
      <c r="F32" s="99"/>
      <c r="G32" s="38">
        <f t="shared" si="1"/>
        <v>0</v>
      </c>
      <c r="H32" s="97"/>
      <c r="I32" s="98"/>
      <c r="J32" s="98"/>
      <c r="K32" s="98"/>
      <c r="L32" s="99"/>
      <c r="M32" s="116">
        <f t="shared" si="2"/>
        <v>0</v>
      </c>
      <c r="N32" s="117"/>
      <c r="O32" s="38">
        <f t="shared" si="0"/>
        <v>0</v>
      </c>
      <c r="Q32" s="1" t="s">
        <v>86</v>
      </c>
      <c r="R32" s="1">
        <v>20</v>
      </c>
      <c r="S32" s="1">
        <v>2031</v>
      </c>
      <c r="T32" s="107" t="s">
        <v>142</v>
      </c>
    </row>
    <row r="33" spans="1:20" s="1" customFormat="1" ht="10.5" customHeight="1" x14ac:dyDescent="0.2">
      <c r="A33" s="23" t="s">
        <v>26</v>
      </c>
      <c r="B33" s="68"/>
      <c r="C33" s="97"/>
      <c r="D33" s="98"/>
      <c r="E33" s="98"/>
      <c r="F33" s="99"/>
      <c r="G33" s="38">
        <f t="shared" si="1"/>
        <v>0</v>
      </c>
      <c r="H33" s="97"/>
      <c r="I33" s="98"/>
      <c r="J33" s="98"/>
      <c r="K33" s="98"/>
      <c r="L33" s="99"/>
      <c r="M33" s="116">
        <f t="shared" si="2"/>
        <v>0</v>
      </c>
      <c r="N33" s="117"/>
      <c r="O33" s="38">
        <f t="shared" si="0"/>
        <v>0</v>
      </c>
      <c r="Q33" s="1" t="s">
        <v>87</v>
      </c>
      <c r="R33" s="1">
        <v>21</v>
      </c>
      <c r="S33" s="1">
        <v>2032</v>
      </c>
      <c r="T33" s="107" t="s">
        <v>143</v>
      </c>
    </row>
    <row r="34" spans="1:20" s="1" customFormat="1" ht="10.5" customHeight="1" thickBot="1" x14ac:dyDescent="0.25">
      <c r="A34" s="24" t="s">
        <v>27</v>
      </c>
      <c r="B34" s="70"/>
      <c r="C34" s="97"/>
      <c r="D34" s="98"/>
      <c r="E34" s="98"/>
      <c r="F34" s="100"/>
      <c r="G34" s="42">
        <f t="shared" si="1"/>
        <v>0</v>
      </c>
      <c r="H34" s="103"/>
      <c r="I34" s="98"/>
      <c r="J34" s="104"/>
      <c r="K34" s="104"/>
      <c r="L34" s="99"/>
      <c r="M34" s="116">
        <f>SUM(H34:L34)</f>
        <v>0</v>
      </c>
      <c r="N34" s="117"/>
      <c r="O34" s="38">
        <f t="shared" si="0"/>
        <v>0</v>
      </c>
      <c r="R34" s="1">
        <v>22</v>
      </c>
      <c r="S34" s="1">
        <v>2033</v>
      </c>
      <c r="T34" s="107" t="s">
        <v>144</v>
      </c>
    </row>
    <row r="35" spans="1:20" s="47" customFormat="1" ht="21" customHeight="1" thickBot="1" x14ac:dyDescent="0.25">
      <c r="A35" s="19" t="s">
        <v>28</v>
      </c>
      <c r="B35" s="46">
        <f>SUM(B11:B34)</f>
        <v>0</v>
      </c>
      <c r="C35" s="43">
        <f>SUM(C11:C34)</f>
        <v>0</v>
      </c>
      <c r="D35" s="44">
        <f>SUM(D11:D34)</f>
        <v>0</v>
      </c>
      <c r="E35" s="44">
        <f>SUM(E11:E34)</f>
        <v>0</v>
      </c>
      <c r="F35" s="45">
        <f>SUM(F11:F34)</f>
        <v>0</v>
      </c>
      <c r="G35" s="46">
        <f t="shared" ref="G35:L35" si="3">SUM(G11:G34)</f>
        <v>0</v>
      </c>
      <c r="H35" s="43">
        <f t="shared" si="3"/>
        <v>0</v>
      </c>
      <c r="I35" s="44">
        <f t="shared" si="3"/>
        <v>0</v>
      </c>
      <c r="J35" s="44">
        <f t="shared" si="3"/>
        <v>0</v>
      </c>
      <c r="K35" s="44">
        <f t="shared" si="3"/>
        <v>0</v>
      </c>
      <c r="L35" s="45">
        <f t="shared" si="3"/>
        <v>0</v>
      </c>
      <c r="M35" s="124">
        <f>SUM(M11:M34)</f>
        <v>0</v>
      </c>
      <c r="N35" s="125"/>
      <c r="O35" s="46">
        <f>SUM(O11:O34)</f>
        <v>0</v>
      </c>
      <c r="Q35" s="48"/>
      <c r="R35" s="47">
        <v>23</v>
      </c>
      <c r="S35" s="1">
        <v>2034</v>
      </c>
      <c r="T35" s="107" t="s">
        <v>145</v>
      </c>
    </row>
    <row r="36" spans="1:20" s="1" customFormat="1" ht="15.75" customHeight="1" thickBot="1" x14ac:dyDescent="0.25">
      <c r="A36" s="6" t="s">
        <v>102</v>
      </c>
      <c r="B36" s="49" t="str">
        <f>IF(O35 &lt;&gt; 0,+B35*100/$O$35,Q37)</f>
        <v xml:space="preserve"> </v>
      </c>
      <c r="C36" s="109" t="str">
        <f>IF(O35 &lt;&gt; 0,+C35*100/$O$35,Q37)</f>
        <v xml:space="preserve"> </v>
      </c>
      <c r="D36" s="110" t="str">
        <f>IF(O35 &lt;&gt; 0,+D35*100/$O$35,Q37)</f>
        <v xml:space="preserve"> </v>
      </c>
      <c r="E36" s="111" t="str">
        <f>IF(O35 &lt;&gt; 0,+E35*100/$O$35,Q37)</f>
        <v xml:space="preserve"> </v>
      </c>
      <c r="F36" s="112" t="str">
        <f>IF(O35 &lt;&gt; 0,+F35*100/$O$35,Q37)</f>
        <v xml:space="preserve"> </v>
      </c>
      <c r="G36" s="49" t="str">
        <f>IF(O35 &lt;&gt; 0,+G35*100/$O$35,Q37)</f>
        <v xml:space="preserve"> </v>
      </c>
      <c r="H36" s="109" t="str">
        <f>IF(O35 &lt;&gt; 0,+H35*100/$O$35,Q37)</f>
        <v xml:space="preserve"> </v>
      </c>
      <c r="I36" s="113" t="str">
        <f>IF(O35 &lt;&gt; 0,+I35*100/$O$35,Q37)</f>
        <v xml:space="preserve"> </v>
      </c>
      <c r="J36" s="114" t="str">
        <f>IF(O35 &lt;&gt; 0,+J35*100/$O$35,Q37)</f>
        <v xml:space="preserve"> </v>
      </c>
      <c r="K36" s="111" t="str">
        <f>IF(O35 &lt;&gt; 0,+K35*100/$O$35,Q37)</f>
        <v xml:space="preserve"> </v>
      </c>
      <c r="L36" s="112" t="str">
        <f>IF(O35 &lt;&gt; 0,+L35*100/$O$35,Q37)</f>
        <v xml:space="preserve"> </v>
      </c>
      <c r="M36" s="128" t="str">
        <f>IF(O35 &lt;&gt; 0,+M35*100/$O$35,Q37)</f>
        <v xml:space="preserve"> </v>
      </c>
      <c r="N36" s="129"/>
      <c r="O36" s="49" t="str">
        <f>IF(O35 &lt;&gt; 0,+O35*100/$O$35,Q37)</f>
        <v xml:space="preserve"> </v>
      </c>
      <c r="Q36" s="50"/>
      <c r="R36" s="1">
        <v>24</v>
      </c>
      <c r="S36" s="1">
        <v>2035</v>
      </c>
      <c r="T36" s="107" t="s">
        <v>146</v>
      </c>
    </row>
    <row r="37" spans="1:20" s="1" customFormat="1" ht="15.75" customHeight="1" thickBot="1" x14ac:dyDescent="0.25">
      <c r="A37" s="6" t="s">
        <v>103</v>
      </c>
      <c r="B37" s="49" t="str">
        <f>IF(AND(B36 &lt;&gt; " ",B36 &lt;&gt; 0),+B36*100/B36,Q37)</f>
        <v xml:space="preserve"> </v>
      </c>
      <c r="C37" s="115" t="str">
        <f>IF(AND(G36 &lt;&gt; " ",G36 &lt;&gt; 0),+C36*100/G36,Q37)</f>
        <v xml:space="preserve"> </v>
      </c>
      <c r="D37" s="111" t="str">
        <f>IF(AND(G36 &lt;&gt; " ",G36 &lt;&gt; 0),+D36*100/G36,Q37)</f>
        <v xml:space="preserve"> </v>
      </c>
      <c r="E37" s="111" t="str">
        <f>IF(AND(G36 &lt;&gt; " ",G36 &lt;&gt; 0),+E36*100/G36,Q37)</f>
        <v xml:space="preserve"> </v>
      </c>
      <c r="F37" s="112" t="str">
        <f>IF(AND(G36 &lt;&gt; " ",G36 &lt;&gt; 0),+F36*100/G36,Q37)</f>
        <v xml:space="preserve"> </v>
      </c>
      <c r="G37" s="109" t="str">
        <f>IF(AND(G36 &lt;&gt; " ",G36 &lt;&gt; 0),+G36*100/G36,Q37)</f>
        <v xml:space="preserve"> </v>
      </c>
      <c r="H37" s="109" t="str">
        <f>IF(AND(M36 &lt;&gt; " ",M36 &lt;&gt; 0),+H36*100/M36,Q37)</f>
        <v xml:space="preserve"> </v>
      </c>
      <c r="I37" s="113" t="str">
        <f>IF(AND(M36 &lt;&gt; " ",M36 &lt;&gt; 0),+I36*100/M36,Q37)</f>
        <v xml:space="preserve"> </v>
      </c>
      <c r="J37" s="114" t="str">
        <f>IF(AND(M36 &lt;&gt; " ",M36 &lt;&gt; 0),+J36*100/M36,Q37)</f>
        <v xml:space="preserve"> </v>
      </c>
      <c r="K37" s="111" t="str">
        <f>IF(AND(M36 &lt;&gt; " ",M36 &lt;&gt; 0),+K36*100/M36,Q37)</f>
        <v xml:space="preserve"> </v>
      </c>
      <c r="L37" s="112" t="str">
        <f>IF(AND(M36 &lt;&gt; " ",M36 &lt;&gt; 0),+M36*100/M36,Q37)</f>
        <v xml:space="preserve"> </v>
      </c>
      <c r="M37" s="130" t="str">
        <f>IF(AND(M36 &lt;&gt; " ",M36 &lt;&gt; 0),+M36*100/M36,Q37)</f>
        <v xml:space="preserve"> </v>
      </c>
      <c r="N37" s="131"/>
      <c r="O37" s="49"/>
      <c r="Q37" s="50" t="s">
        <v>110</v>
      </c>
      <c r="R37" s="5">
        <v>25</v>
      </c>
      <c r="T37" s="107" t="s">
        <v>147</v>
      </c>
    </row>
    <row r="38" spans="1:20" s="5" customFormat="1" ht="5.25" customHeight="1" thickBot="1" x14ac:dyDescent="0.25">
      <c r="A38" s="20"/>
      <c r="B38" s="73"/>
      <c r="C38" s="73"/>
      <c r="D38" s="73"/>
      <c r="E38" s="73"/>
      <c r="F38" s="73"/>
      <c r="G38" s="51"/>
      <c r="H38" s="32"/>
      <c r="I38" s="32"/>
      <c r="J38" s="32"/>
      <c r="K38" s="32"/>
      <c r="L38" s="32"/>
      <c r="M38" s="127"/>
      <c r="N38" s="127"/>
      <c r="O38" s="52"/>
      <c r="R38" s="1">
        <v>26</v>
      </c>
      <c r="T38" s="107" t="s">
        <v>148</v>
      </c>
    </row>
    <row r="39" spans="1:20" s="1" customFormat="1" ht="21" customHeight="1" thickBot="1" x14ac:dyDescent="0.25">
      <c r="A39" s="3" t="s">
        <v>29</v>
      </c>
      <c r="B39" s="71"/>
      <c r="C39" s="56"/>
      <c r="D39" s="53"/>
      <c r="E39" s="54"/>
      <c r="F39" s="55"/>
      <c r="G39" s="46">
        <f>SUM(C39:F39)</f>
        <v>0</v>
      </c>
      <c r="H39" s="56"/>
      <c r="I39" s="53"/>
      <c r="J39" s="53"/>
      <c r="K39" s="53"/>
      <c r="L39" s="57"/>
      <c r="M39" s="122">
        <f>SUM(H39:L39)</f>
        <v>0</v>
      </c>
      <c r="N39" s="123"/>
      <c r="O39" s="58">
        <f>+M39+G39</f>
        <v>0</v>
      </c>
      <c r="R39" s="33">
        <v>27</v>
      </c>
      <c r="T39" s="107" t="s">
        <v>149</v>
      </c>
    </row>
    <row r="40" spans="1:20" s="33" customFormat="1" ht="5.25" customHeight="1" thickBot="1" x14ac:dyDescent="0.25">
      <c r="A40" s="22"/>
      <c r="B40" s="60"/>
      <c r="C40" s="60"/>
      <c r="D40" s="59"/>
      <c r="E40" s="60"/>
      <c r="F40" s="60"/>
      <c r="G40" s="61"/>
      <c r="M40" s="126"/>
      <c r="N40" s="126"/>
      <c r="O40" s="52"/>
      <c r="R40" s="105">
        <v>28</v>
      </c>
      <c r="T40" s="107" t="s">
        <v>150</v>
      </c>
    </row>
    <row r="41" spans="1:20" s="105" customFormat="1" ht="21" customHeight="1" thickBot="1" x14ac:dyDescent="0.25">
      <c r="A41" s="30" t="s">
        <v>30</v>
      </c>
      <c r="B41" s="72"/>
      <c r="C41" s="56"/>
      <c r="D41" s="53"/>
      <c r="E41" s="53"/>
      <c r="F41" s="57"/>
      <c r="G41" s="46">
        <f>SUM(C41:F41)</f>
        <v>0</v>
      </c>
      <c r="H41" s="56"/>
      <c r="I41" s="53"/>
      <c r="J41" s="53"/>
      <c r="K41" s="53"/>
      <c r="L41" s="62"/>
      <c r="M41" s="122">
        <f>SUM(H41:L41)</f>
        <v>0</v>
      </c>
      <c r="N41" s="123"/>
      <c r="O41" s="58">
        <f>+M41+G41</f>
        <v>0</v>
      </c>
      <c r="Q41" s="106">
        <f ca="1">NOW()</f>
        <v>46072.88665</v>
      </c>
      <c r="R41" s="2">
        <v>29</v>
      </c>
      <c r="T41" s="107" t="s">
        <v>151</v>
      </c>
    </row>
    <row r="42" spans="1:20" ht="12.75" x14ac:dyDescent="0.2">
      <c r="R42" s="2">
        <v>30</v>
      </c>
      <c r="T42" s="107" t="s">
        <v>152</v>
      </c>
    </row>
    <row r="43" spans="1:20" ht="12.75" x14ac:dyDescent="0.2">
      <c r="R43" s="2">
        <v>31</v>
      </c>
      <c r="T43" s="107" t="s">
        <v>153</v>
      </c>
    </row>
    <row r="44" spans="1:20" ht="12.75" x14ac:dyDescent="0.2">
      <c r="T44" s="107" t="s">
        <v>154</v>
      </c>
    </row>
    <row r="45" spans="1:20" ht="12.75" x14ac:dyDescent="0.2">
      <c r="T45" s="107" t="s">
        <v>155</v>
      </c>
    </row>
    <row r="46" spans="1:20" ht="12.75" x14ac:dyDescent="0.2">
      <c r="T46" s="107" t="s">
        <v>156</v>
      </c>
    </row>
    <row r="47" spans="1:20" ht="12.75" x14ac:dyDescent="0.2">
      <c r="T47" s="107" t="s">
        <v>157</v>
      </c>
    </row>
    <row r="48" spans="1:20" ht="12.75" x14ac:dyDescent="0.2">
      <c r="T48" s="107" t="s">
        <v>158</v>
      </c>
    </row>
    <row r="49" spans="20:20" ht="12.75" x14ac:dyDescent="0.2">
      <c r="T49" s="107" t="s">
        <v>159</v>
      </c>
    </row>
    <row r="50" spans="20:20" ht="12.75" x14ac:dyDescent="0.2">
      <c r="T50" s="107" t="s">
        <v>160</v>
      </c>
    </row>
    <row r="51" spans="20:20" ht="12.75" x14ac:dyDescent="0.2">
      <c r="T51" s="107" t="s">
        <v>161</v>
      </c>
    </row>
    <row r="52" spans="20:20" ht="12.75" x14ac:dyDescent="0.2">
      <c r="T52" s="107" t="s">
        <v>162</v>
      </c>
    </row>
    <row r="53" spans="20:20" x14ac:dyDescent="0.2">
      <c r="T53" s="15"/>
    </row>
    <row r="54" spans="20:20" x14ac:dyDescent="0.2">
      <c r="T54" s="15"/>
    </row>
  </sheetData>
  <mergeCells count="49">
    <mergeCell ref="K3:O3"/>
    <mergeCell ref="K4:O4"/>
    <mergeCell ref="B2:D2"/>
    <mergeCell ref="A1:O1"/>
    <mergeCell ref="E2:O2"/>
    <mergeCell ref="A3:D3"/>
    <mergeCell ref="A4:D4"/>
    <mergeCell ref="E3:F3"/>
    <mergeCell ref="E4:F4"/>
    <mergeCell ref="M36:N36"/>
    <mergeCell ref="M37:N37"/>
    <mergeCell ref="A6:C6"/>
    <mergeCell ref="L5:O5"/>
    <mergeCell ref="L6:O6"/>
    <mergeCell ref="A7:A10"/>
    <mergeCell ref="B7:N8"/>
    <mergeCell ref="M9:N9"/>
    <mergeCell ref="O7:O10"/>
    <mergeCell ref="A5:C5"/>
    <mergeCell ref="M24:N24"/>
    <mergeCell ref="M25:N25"/>
    <mergeCell ref="M41:N41"/>
    <mergeCell ref="M32:N32"/>
    <mergeCell ref="M33:N33"/>
    <mergeCell ref="M34:N34"/>
    <mergeCell ref="M35:N35"/>
    <mergeCell ref="M40:N40"/>
    <mergeCell ref="M26:N26"/>
    <mergeCell ref="M27:N27"/>
    <mergeCell ref="M39:N39"/>
    <mergeCell ref="M28:N28"/>
    <mergeCell ref="M29:N29"/>
    <mergeCell ref="M30:N30"/>
    <mergeCell ref="M31:N31"/>
    <mergeCell ref="M38:N38"/>
    <mergeCell ref="M20:N20"/>
    <mergeCell ref="M21:N21"/>
    <mergeCell ref="M22:N22"/>
    <mergeCell ref="M23:N23"/>
    <mergeCell ref="M16:N16"/>
    <mergeCell ref="M17:N17"/>
    <mergeCell ref="M18:N18"/>
    <mergeCell ref="M19:N19"/>
    <mergeCell ref="M15:N15"/>
    <mergeCell ref="M14:N14"/>
    <mergeCell ref="M10:N10"/>
    <mergeCell ref="M11:N11"/>
    <mergeCell ref="M12:N12"/>
    <mergeCell ref="M13:N13"/>
  </mergeCells>
  <phoneticPr fontId="1" type="noConversion"/>
  <dataValidations count="15">
    <dataValidation type="list" allowBlank="1" showInputMessage="1" showErrorMessage="1" sqref="G4" xr:uid="{97110555-42C8-4464-88B7-E5173F7BB88F}">
      <formula1>$Q$3:$Q$6</formula1>
    </dataValidation>
    <dataValidation type="list" allowBlank="1" showInputMessage="1" showErrorMessage="1" sqref="A6:C6" xr:uid="{AE550A3B-F42E-4244-8478-5DBB057D6CD1}">
      <formula1>$Q$9:$Q$12</formula1>
    </dataValidation>
    <dataValidation type="list" allowBlank="1" showInputMessage="1" showErrorMessage="1" sqref="D6" xr:uid="{6B5B6FAC-B91A-4D22-B639-AACFC195E6D6}">
      <formula1>$Q$14:$Q$20</formula1>
    </dataValidation>
    <dataValidation type="list" allowBlank="1" showInputMessage="1" showErrorMessage="1" sqref="F6" xr:uid="{B5F32763-A420-4FD8-9EA7-4EE9308949DA}">
      <formula1>$Q$22:$Q$33</formula1>
    </dataValidation>
    <dataValidation type="list" allowBlank="1" showInputMessage="1" showErrorMessage="1" sqref="E6" xr:uid="{A2308827-245E-42FF-8210-875780A78F74}">
      <formula1>$R$13:$R$43</formula1>
    </dataValidation>
    <dataValidation type="list" allowBlank="1" showInputMessage="1" showErrorMessage="1" sqref="H6" xr:uid="{DB9AF32E-DE55-4A73-8291-90CA80C6CA8F}">
      <formula1>$R$2:$R$7</formula1>
    </dataValidation>
    <dataValidation type="list" allowBlank="1" showInputMessage="1" showErrorMessage="1" sqref="I6" xr:uid="{94A72C45-4D66-4ACA-9DEE-753EF4CC2E13}">
      <formula1>$S$2:$S$5</formula1>
    </dataValidation>
    <dataValidation type="list" allowBlank="1" showInputMessage="1" showErrorMessage="1" sqref="J6" xr:uid="{35E6E554-FCFA-48FA-8E83-5F491AD18AF9}">
      <formula1>$R$13:$R$24</formula1>
    </dataValidation>
    <dataValidation type="list" allowBlank="1" showInputMessage="1" showErrorMessage="1" sqref="K6" xr:uid="{D87FEAFD-66C8-48F0-AB0B-85B5B4F9426E}">
      <formula1>$S$6:$S$8</formula1>
    </dataValidation>
    <dataValidation type="list" allowBlank="1" showInputMessage="1" showErrorMessage="1" sqref="A4:D4" xr:uid="{0CA036EC-2544-467B-9C5C-ADBADDAD0140}">
      <formula1>$T$1:$T$52</formula1>
    </dataValidation>
    <dataValidation type="list" allowBlank="1" showInputMessage="1" showErrorMessage="1" sqref="J4" xr:uid="{7A74E6F3-68CB-48CA-BA7F-885D24BD20BF}">
      <formula1>$S$14:$S$18</formula1>
    </dataValidation>
    <dataValidation type="whole" allowBlank="1" showInputMessage="1" showErrorMessage="1" sqref="B11:F34 H39:L41 B39:F41 H11:L34" xr:uid="{CE854BA1-60DA-47AC-BDC4-0546E4FD9D7D}">
      <formula1>0</formula1>
      <formula2>99999999</formula2>
    </dataValidation>
    <dataValidation type="decimal" operator="greaterThan" allowBlank="1" showInputMessage="1" showErrorMessage="1" sqref="I4" xr:uid="{80BF5E9E-AE78-4CAB-92C8-1AB053ACAD74}">
      <formula1>0</formula1>
    </dataValidation>
    <dataValidation type="whole" allowBlank="1" showInputMessage="1" showErrorMessage="1" sqref="E4:F4" xr:uid="{E85F461A-F214-4186-9FDB-B4ED151BDFC9}">
      <formula1>0</formula1>
      <formula2>999</formula2>
    </dataValidation>
    <dataValidation type="list" allowBlank="1" showInputMessage="1" showErrorMessage="1" sqref="G6" xr:uid="{EFC271DA-13C0-4731-B55C-9EB43E19F4EE}">
      <formula1>$S$20:$S$36</formula1>
    </dataValidation>
  </dataValidations>
  <pageMargins left="0.39370078740157483" right="0.19685039370078741" top="0.23622047244094491" bottom="0.35433070866141736" header="0" footer="0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025" r:id="rId4">
          <objectPr defaultSize="0" autoPict="0" r:id="rId5">
            <anchor moveWithCells="1">
              <from>
                <xdr:col>0</xdr:col>
                <xdr:colOff>57150</xdr:colOff>
                <xdr:row>0</xdr:row>
                <xdr:rowOff>47625</xdr:rowOff>
              </from>
              <to>
                <xdr:col>0</xdr:col>
                <xdr:colOff>685800</xdr:colOff>
                <xdr:row>1</xdr:row>
                <xdr:rowOff>428625</xdr:rowOff>
              </to>
            </anchor>
          </objectPr>
        </oleObject>
      </mc:Choice>
      <mc:Fallback>
        <oleObject progId="MSPhotoEd.3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35</vt:i4>
      </vt:variant>
    </vt:vector>
  </HeadingPairs>
  <TitlesOfParts>
    <vt:vector size="36" baseType="lpstr">
      <vt:lpstr>Modelo200</vt:lpstr>
      <vt:lpstr>AFORO</vt:lpstr>
      <vt:lpstr>AÑO</vt:lpstr>
      <vt:lpstr>ARTICULADOS</vt:lpstr>
      <vt:lpstr>AUTOBUSES</vt:lpstr>
      <vt:lpstr>CALZADA</vt:lpstr>
      <vt:lpstr>CAMIONETAS</vt:lpstr>
      <vt:lpstr>CARAVANA</vt:lpstr>
      <vt:lpstr>CB</vt:lpstr>
      <vt:lpstr>COCHES</vt:lpstr>
      <vt:lpstr>CRTA</vt:lpstr>
      <vt:lpstr>DIA</vt:lpstr>
      <vt:lpstr>DIASEMANA</vt:lpstr>
      <vt:lpstr>ESPECIALES</vt:lpstr>
      <vt:lpstr>ESTACION</vt:lpstr>
      <vt:lpstr>EXTRANJEROS</vt:lpstr>
      <vt:lpstr>HOJA</vt:lpstr>
      <vt:lpstr>INCIDENCIAS</vt:lpstr>
      <vt:lpstr>LIGEROS</vt:lpstr>
      <vt:lpstr>MES</vt:lpstr>
      <vt:lpstr>MOTOS</vt:lpstr>
      <vt:lpstr>OBSERVACIONES</vt:lpstr>
      <vt:lpstr>PELIGROSAS</vt:lpstr>
      <vt:lpstr>PESADOS</vt:lpstr>
      <vt:lpstr>PK</vt:lpstr>
      <vt:lpstr>POBLACION</vt:lpstr>
      <vt:lpstr>PROVINCIA</vt:lpstr>
      <vt:lpstr>PTIPO</vt:lpstr>
      <vt:lpstr>PTOTAL</vt:lpstr>
      <vt:lpstr>SINREMOLQUE</vt:lpstr>
      <vt:lpstr>TDIARIOS</vt:lpstr>
      <vt:lpstr>THORARIOS</vt:lpstr>
      <vt:lpstr>TIEMPO</vt:lpstr>
      <vt:lpstr>TIPO</vt:lpstr>
      <vt:lpstr>TRACTORES</vt:lpstr>
      <vt:lpstr>TRENES</vt:lpstr>
    </vt:vector>
  </TitlesOfParts>
  <Company>SYKAR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Manolo Conejero Alanís</cp:lastModifiedBy>
  <cp:lastPrinted>2008-05-26T09:06:06Z</cp:lastPrinted>
  <dcterms:created xsi:type="dcterms:W3CDTF">2008-02-10T19:27:39Z</dcterms:created>
  <dcterms:modified xsi:type="dcterms:W3CDTF">2026-02-19T20:17:54Z</dcterms:modified>
</cp:coreProperties>
</file>